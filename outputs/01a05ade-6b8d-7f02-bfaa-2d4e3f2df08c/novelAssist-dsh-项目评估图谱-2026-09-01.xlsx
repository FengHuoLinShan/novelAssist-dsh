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3728c28d9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1e14a6ab03714f93"/>
    <x:sheet xmlns:r="http://schemas.openxmlformats.org/officeDocument/2006/relationships" name="01_模块成熟度" sheetId="2" r:id="Rf21aa3c13744459d"/>
    <x:sheet xmlns:r="http://schemas.openxmlformats.org/officeDocument/2006/relationships" name="02_能力闭环" sheetId="3" r:id="Rbfe5d150e1ee464f"/>
    <x:sheet xmlns:r="http://schemas.openxmlformats.org/officeDocument/2006/relationships" name="03_上下文与复用" sheetId="4" r:id="Rb476685302344dae"/>
    <x:sheet xmlns:r="http://schemas.openxmlformats.org/officeDocument/2006/relationships" name="04_LLM调用点" sheetId="5" r:id="R98dabe6c0c864b95"/>
    <x:sheet xmlns:r="http://schemas.openxmlformats.org/officeDocument/2006/relationships" name="05_AI平台" sheetId="6" r:id="R3f201417909540d9"/>
    <x:sheet xmlns:r="http://schemas.openxmlformats.org/officeDocument/2006/relationships" name="06_模型适配" sheetId="7" r:id="Rf32435e74dbc42e1"/>
    <x:sheet xmlns:r="http://schemas.openxmlformats.org/officeDocument/2006/relationships" name="07_评测计划" sheetId="8" r:id="R47418c1564df41b3"/>
    <x:sheet xmlns:r="http://schemas.openxmlformats.org/officeDocument/2006/relationships" name="08_路线图" sheetId="9" r:id="R1bd50dfa551d405f"/>
    <x:sheet xmlns:r="http://schemas.openxmlformats.org/officeDocument/2006/relationships" name="09_证据索引" sheetId="10" r:id="Rc9646ad37e4f4455"/>
    <x:sheet xmlns:r="http://schemas.openxmlformats.org/officeDocument/2006/relationships" name="10_评分规则" sheetId="11" r:id="R76677866addd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#,##0"/>
    <x:numFmt numFmtId="203" formatCode="0.000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1"/>
      <x:color rgb="FF172033"/>
      <x:name val="Carlito"/>
    </x:font>
    <x:font>
      <x:b/>
      <x:sz val="11"/>
      <x:color rgb="FF0B1F33"/>
      <x:name val="Carlito"/>
    </x:font>
    <x:font>
      <x:b/>
      <x:sz val="11"/>
      <x:color rgb="FFFFFFFF"/>
      <x:name val="Aptos"/>
    </x:font>
    <x:font>
      <x:sz val="11"/>
      <x:color rgb="FF172033"/>
      <x:name val="Aptos"/>
    </x:font>
    <x:font>
      <x:sz val="11"/>
      <x:name val="Aptos"/>
    </x:font>
    <x:font>
      <x:b/>
      <x:sz val="11"/>
      <x:color rgb="FF172033"/>
      <x:name val="Aptos"/>
    </x:font>
    <x:font>
      <x:b/>
      <x:sz val="11"/>
      <x:color rgb="FF0B1F33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2563EB"/>
      </x:patternFill>
    </x:fill>
    <x:fill>
      <x:patternFill patternType="solid">
        <x:fgColor rgb="FF7E22CE"/>
      </x:patternFill>
    </x:fill>
    <x:fill>
      <x:patternFill patternType="solid">
        <x:fgColor rgb="FFFFF7E6"/>
      </x:patternFill>
    </x:fill>
    <x:fill>
      <x:patternFill patternType="solid">
        <x:fgColor rgb="FFE8F7F4"/>
      </x:patternFill>
    </x:fill>
    <x:fill>
      <x:patternFill patternType="solid">
        <x:fgColor rgb="FFF4ECFF"/>
      </x:patternFill>
    </x:fill>
    <x:fill>
      <x:patternFill patternType="solid">
        <x:fgColor rgb="FFECFDF3"/>
      </x:patternFill>
    </x:fill>
    <x:fill>
      <x:patternFill patternType="solid">
        <x:fgColor rgb="FFFDECEC"/>
      </x:patternFill>
    </x:fill>
    <x:fill>
      <x:patternFill patternType="solid">
        <x:fgColor rgb="FFB91C1C"/>
      </x:patternFill>
    </x:fill>
  </x:fills>
  <x:borders count="13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201" fontId="2" fillId="0" borderId="5" xfId="0" applyNumberFormat="1" applyFont="1" applyFill="1" applyBorder="1" applyAlignment="1">
      <x:alignment vertical="top" wrapText="1"/>
    </x:xf>
    <x:xf numFmtId="201" fontId="2" fillId="0" borderId="8" xfId="0" applyNumberFormat="1" applyFont="1" applyFill="1" applyBorder="1" applyAlignment="1">
      <x:alignment vertical="top" wrapText="1"/>
    </x:xf>
    <x:xf numFmtId="201" fontId="2" fillId="0" borderId="1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202" fontId="2" fillId="0" borderId="5" xfId="0" applyNumberFormat="1" applyFont="1" applyFill="1" applyBorder="1" applyAlignment="1">
      <x:alignment vertical="top" wrapText="1"/>
    </x:xf>
    <x:xf numFmtId="202" fontId="2" fillId="0" borderId="8" xfId="0" applyNumberFormat="1" applyFont="1" applyFill="1" applyBorder="1" applyAlignment="1">
      <x:alignment vertical="top" wrapText="1"/>
    </x:xf>
    <x:xf numFmtId="202" fontId="2" fillId="0" borderId="11" xfId="0" applyNumberFormat="1" applyFont="1" applyFill="1" applyBorder="1" applyAlignment="1">
      <x:alignment vertical="top" wrapText="1"/>
    </x:xf>
    <x:xf numFmtId="203" fontId="2" fillId="0" borderId="5" xfId="0" applyNumberFormat="1" applyFont="1" applyFill="1" applyBorder="1" applyAlignment="1">
      <x:alignment vertical="top" wrapText="1"/>
    </x:xf>
    <x:xf numFmtId="203" fontId="2" fillId="0" borderId="8" xfId="0" applyNumberFormat="1" applyFont="1" applyFill="1" applyBorder="1" applyAlignment="1">
      <x:alignment vertical="top" wrapText="1"/>
    </x:xf>
    <x:xf numFmtId="203" fontId="2" fillId="0" borderId="1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0" fillId="11" borderId="4" xfId="0" applyNumberFormat="1" applyFont="1" applyFill="1" applyBorder="1"/>
    <x:xf numFmtId="0" fontId="0" fillId="11" borderId="5" xfId="0" applyNumberFormat="1" applyFont="1" applyFill="1" applyBorder="1"/>
    <x:xf numFmtId="0" fontId="0" fillId="11" borderId="6" xfId="0" applyNumberFormat="1" applyFont="1" applyFill="1" applyBorder="1"/>
    <x:xf numFmtId="0" fontId="0" fillId="11" borderId="7" xfId="0" applyNumberFormat="1" applyFont="1" applyFill="1" applyBorder="1"/>
    <x:xf numFmtId="0" fontId="0" fillId="11" borderId="8" xfId="0" applyNumberFormat="1" applyFont="1" applyFill="1" applyBorder="1"/>
    <x:xf numFmtId="0" fontId="0" fillId="11" borderId="9" xfId="0" applyNumberFormat="1" applyFont="1" applyFill="1" applyBorder="1"/>
    <x:xf numFmtId="0" fontId="0" fillId="11" borderId="10" xfId="0" applyNumberFormat="1" applyFont="1" applyFill="1" applyBorder="1"/>
    <x:xf numFmtId="0" fontId="0" fillId="11" borderId="11" xfId="0" applyNumberFormat="1" applyFont="1" applyFill="1" applyBorder="1"/>
    <x:xf numFmtId="0" fontId="0" fillId="11" borderId="12" xfId="0" applyNumberFormat="1" applyFont="1" applyFill="1" applyBorder="1"/>
    <x:xf numFmtId="0" fontId="0" fillId="11" borderId="4" xfId="0" applyNumberFormat="1" applyFont="1" applyFill="1" applyBorder="1" applyAlignment="1">
      <x:alignment wrapText="1"/>
    </x:xf>
    <x:xf numFmtId="0" fontId="0" fillId="11" borderId="5" xfId="0" applyNumberFormat="1" applyFont="1" applyFill="1" applyBorder="1" applyAlignment="1">
      <x:alignment wrapText="1"/>
    </x:xf>
    <x:xf numFmtId="0" fontId="0" fillId="11" borderId="6" xfId="0" applyNumberFormat="1" applyFont="1" applyFill="1" applyBorder="1" applyAlignment="1">
      <x:alignment wrapText="1"/>
    </x:xf>
    <x:xf numFmtId="0" fontId="0" fillId="11" borderId="7" xfId="0" applyNumberFormat="1" applyFont="1" applyFill="1" applyBorder="1" applyAlignment="1">
      <x:alignment wrapText="1"/>
    </x:xf>
    <x:xf numFmtId="0" fontId="0" fillId="11" borderId="8" xfId="0" applyNumberFormat="1" applyFont="1" applyFill="1" applyBorder="1" applyAlignment="1">
      <x:alignment wrapText="1"/>
    </x:xf>
    <x:xf numFmtId="0" fontId="0" fillId="11" borderId="9" xfId="0" applyNumberFormat="1" applyFont="1" applyFill="1" applyBorder="1" applyAlignment="1">
      <x:alignment wrapText="1"/>
    </x:xf>
    <x:xf numFmtId="0" fontId="0" fillId="11" borderId="10" xfId="0" applyNumberFormat="1" applyFont="1" applyFill="1" applyBorder="1" applyAlignment="1">
      <x:alignment wrapText="1"/>
    </x:xf>
    <x:xf numFmtId="0" fontId="0" fillId="11" borderId="11" xfId="0" applyNumberFormat="1" applyFont="1" applyFill="1" applyBorder="1" applyAlignment="1">
      <x:alignment wrapText="1"/>
    </x:xf>
    <x:xf numFmtId="0" fontId="0" fillId="11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9" fillId="11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wrapText="1"/>
    </x:xf>
    <x:xf numFmtId="0" fontId="7" fillId="11" borderId="4" xfId="0" applyNumberFormat="1" applyFont="1" applyFill="1" applyBorder="1" applyAlignment="1">
      <x:alignment wrapText="1"/>
    </x:xf>
    <x:xf numFmtId="0" fontId="7" fillId="11" borderId="5" xfId="0" applyNumberFormat="1" applyFont="1" applyFill="1" applyBorder="1" applyAlignment="1">
      <x:alignment wrapText="1"/>
    </x:xf>
    <x:xf numFmtId="0" fontId="7" fillId="11" borderId="6" xfId="0" applyNumberFormat="1" applyFont="1" applyFill="1" applyBorder="1" applyAlignment="1">
      <x:alignment wrapText="1"/>
    </x:xf>
    <x:xf numFmtId="0" fontId="7" fillId="11" borderId="7" xfId="0" applyNumberFormat="1" applyFont="1" applyFill="1" applyBorder="1" applyAlignment="1">
      <x:alignment wrapText="1"/>
    </x:xf>
    <x:xf numFmtId="0" fontId="7" fillId="11" borderId="8" xfId="0" applyNumberFormat="1" applyFont="1" applyFill="1" applyBorder="1" applyAlignment="1">
      <x:alignment wrapText="1"/>
    </x:xf>
    <x:xf numFmtId="0" fontId="7" fillId="11" borderId="9" xfId="0" applyNumberFormat="1" applyFont="1" applyFill="1" applyBorder="1" applyAlignment="1">
      <x:alignment wrapText="1"/>
    </x:xf>
    <x:xf numFmtId="0" fontId="7" fillId="11" borderId="10" xfId="0" applyNumberFormat="1" applyFont="1" applyFill="1" applyBorder="1" applyAlignment="1">
      <x:alignment wrapText="1"/>
    </x:xf>
    <x:xf numFmtId="0" fontId="7" fillId="11" borderId="11" xfId="0" applyNumberFormat="1" applyFont="1" applyFill="1" applyBorder="1" applyAlignment="1">
      <x:alignment wrapText="1"/>
    </x:xf>
    <x:xf numFmtId="0" fontId="7" fillId="11" borderId="12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201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201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3" fontId="6" fillId="0" borderId="5" xfId="0" applyNumberFormat="1" applyFont="1" applyFill="1" applyBorder="1" applyAlignment="1">
      <x:alignment vertical="top" wrapText="1"/>
    </x:xf>
    <x:xf numFmtId="202" fontId="6" fillId="0" borderId="8" xfId="0" applyNumberFormat="1" applyFont="1" applyFill="1" applyBorder="1" applyAlignment="1">
      <x:alignment vertical="top" wrapText="1"/>
    </x:xf>
    <x:xf numFmtId="203" fontId="6" fillId="0" borderId="8" xfId="0" applyNumberFormat="1" applyFont="1" applyFill="1" applyBorder="1" applyAlignment="1">
      <x:alignment vertical="top" wrapText="1"/>
    </x:xf>
    <x:xf numFmtId="202" fontId="6" fillId="0" borderId="11" xfId="0" applyNumberFormat="1" applyFont="1" applyFill="1" applyBorder="1" applyAlignment="1">
      <x:alignment vertical="top" wrapText="1"/>
    </x:xf>
    <x:xf numFmtId="203" fontId="6" fillId="0" borderId="1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/>
    <x:xf numFmtId="200" fontId="7" fillId="0" borderId="0" xfId="0" applyNumberFormat="1" applyFont="1" applyFill="1" applyBorder="1"/>
    <x:xf numFmtId="0" fontId="5" fillId="5" borderId="0" xfId="0" applyNumberFormat="1" applyFont="1" applyFill="1" applyBorder="1"/>
    <x:xf numFmtId="0" fontId="7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45309"/>
      </x:font>
      <x:fill>
        <x:patternFill patternType="solid">
          <x:bgColor rgb="FFFFF7E6"/>
        </x:patternFill>
      </x:fill>
    </x:dxf>
    <x:dxf>
      <x:font>
        <x:b/>
        <x:color rgb="FF15803D"/>
      </x:font>
      <x:fill>
        <x:patternFill patternType="solid">
          <x:bgColor rgb="FFECFDF3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45309"/>
      </x:font>
      <x:fill>
        <x:patternFill patternType="solid">
          <x:bgColor rgb="FFFFF7E6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01d262d584d69" /><Relationship Type="http://schemas.openxmlformats.org/officeDocument/2006/relationships/theme" Target="/xl/theme/theme1.xml" Id="R6f909f6fa0d74927" /><Relationship Type="http://schemas.openxmlformats.org/officeDocument/2006/relationships/sharedStrings" Target="/xl/sharedStrings.xml" Id="R732dfa71a3d34a17" /><Relationship Type="http://schemas.openxmlformats.org/officeDocument/2006/relationships/worksheet" Target="/xl/worksheets/sheet1.xml" Id="R1e14a6ab03714f93" /><Relationship Type="http://schemas.openxmlformats.org/officeDocument/2006/relationships/worksheet" Target="/xl/worksheets/sheet2.xml" Id="Rf21aa3c13744459d" /><Relationship Type="http://schemas.openxmlformats.org/officeDocument/2006/relationships/worksheet" Target="/xl/worksheets/sheet3.xml" Id="Rbfe5d150e1ee464f" /><Relationship Type="http://schemas.openxmlformats.org/officeDocument/2006/relationships/worksheet" Target="/xl/worksheets/sheet4.xml" Id="Rb476685302344dae" /><Relationship Type="http://schemas.openxmlformats.org/officeDocument/2006/relationships/worksheet" Target="/xl/worksheets/sheet5.xml" Id="R98dabe6c0c864b95" /><Relationship Type="http://schemas.openxmlformats.org/officeDocument/2006/relationships/worksheet" Target="/xl/worksheets/sheet6.xml" Id="R3f201417909540d9" /><Relationship Type="http://schemas.openxmlformats.org/officeDocument/2006/relationships/worksheet" Target="/xl/worksheets/sheet7.xml" Id="Rf32435e74dbc42e1" /><Relationship Type="http://schemas.openxmlformats.org/officeDocument/2006/relationships/worksheet" Target="/xl/worksheets/sheet8.xml" Id="R47418c1564df41b3" /><Relationship Type="http://schemas.openxmlformats.org/officeDocument/2006/relationships/worksheet" Target="/xl/worksheets/sheet9.xml" Id="R1bd50dfa551d405f" /><Relationship Type="http://schemas.openxmlformats.org/officeDocument/2006/relationships/worksheet" Target="/xl/worksheets/sheet10.xml" Id="Rc9646ad37e4f4455" /><Relationship Type="http://schemas.openxmlformats.org/officeDocument/2006/relationships/worksheet" Target="/xl/worksheets/sheet11.xml" Id="R76677866addd4c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eff83e570a44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模块成熟度（0–100）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成熟度</c:v>
          </c:tx>
          <c:cat>
            <c:strRef>
              <c:f>'00_总览'!$J$23:$J$38</c:f>
              <c:strCache>
                <c:ptCount val="0"/>
              </c:strCache>
            </c:strRef>
          </c:cat>
          <c:val>
            <c:numRef>
              <c:f>'00_总览'!$K$23:$K$38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eff83e570a44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uleMaturity" displayName="ModuleMaturity" ref="A4:T20" headerRowCount="1" totalsRowCount="0" totalsRowShown="0">
  <x:autoFilter ref="A4:T20"/>
  <x:tableColumns count="20">
    <x:tableColumn id="1" name="模块"/>
    <x:tableColumn id="2" name="职责"/>
    <x:tableColumn id="3" name="src 文件"/>
    <x:tableColumn id="4" name="src LOC"/>
    <x:tableColumn id="5" name="测试文件"/>
    <x:tableColumn id="6" name="test/it 声明"/>
    <x:tableColumn id="7" name="公开入口"/>
    <x:tableColumn id="8" name="用户可达"/>
    <x:tableColumn id="9" name="功能深度"/>
    <x:tableColumn id="10" name="集成复用"/>
    <x:tableColumn id="11" name="可靠安全"/>
    <x:tableColumn id="12" name="测试证据"/>
    <x:tableColumn id="13" name="实效证据"/>
    <x:tableColumn id="14" name="成熟度"/>
    <x:tableColumn id="15" name="等级"/>
    <x:tableColumn id="16" name="判断"/>
    <x:tableColumn id="17" name="关键证据"/>
    <x:tableColumn id="18" name="主要缺口"/>
    <x:tableColumn id="19" name="最小下一步"/>
    <x:tableColumn id="20" name="证据路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bilityLedger" displayName="CapabilityLedger" ref="A4:N28" headerRowCount="1" totalsRowCount="0" totalsRowShown="0">
  <x:autoFilter ref="A4:N28"/>
  <x:tableColumns count="14">
    <x:tableColumn id="1" name="领域"/>
    <x:tableColumn id="2" name="用户任务"/>
    <x:tableColumn id="3" name="当前可见结果"/>
    <x:tableColumn id="4" name="公开入口"/>
    <x:tableColumn id="5" name="实现完整"/>
    <x:tableColumn id="6" name="用户可达"/>
    <x:tableColumn id="7" name="可靠安全"/>
    <x:tableColumn id="8" name="效果证据"/>
    <x:tableColumn id="9" name="综合分"/>
    <x:tableColumn id="10" name="状态"/>
    <x:tableColumn id="11" name="主要缺口"/>
    <x:tableColumn id="12" name="最小下一步"/>
    <x:tableColumn id="13" name="明确不做"/>
    <x:tableColumn id="14" name="证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extLayers" displayName="ContextLayers" ref="A10:H15" headerRowCount="1" totalsRowCount="0" totalsRowShown="0">
  <x:autoFilter ref="A10:H15"/>
  <x:tableColumns count="8">
    <x:tableColumn id="1" name="Tier"/>
    <x:tableColumn id="2" name="目标资料"/>
    <x:tableColumn id="3" name="当前生产者"/>
    <x:tableColumn id="4" name="当前消费者"/>
    <x:tableColumn id="5" name="来源能力"/>
    <x:tableColumn id="6" name="预算"/>
    <x:tableColumn id="7" name="结论"/>
    <x:tableColumn id="8" name="下一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xtFindings" displayName="ContextFindings" ref="A19:E29" headerRowCount="1" totalsRowCount="0" totalsRowShown="0">
  <x:autoFilter ref="A19:E29"/>
  <x:tableColumns count="5">
    <x:tableColumn id="1" name="优先级"/>
    <x:tableColumn id="2" name="发现"/>
    <x:tableColumn id="3" name="证据"/>
    <x:tableColumn id="4" name="影响"/>
    <x:tableColumn id="5" name="最小修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lmCallSites" displayName="LlmCallSites" ref="A4:J33" headerRowCount="1" totalsRowCount="0" totalsRowShown="0">
  <x:autoFilter ref="A4:J33"/>
  <x:tableColumns count="10">
    <x:tableColumn id="1" name="包"/>
    <x:tableColumn id="2" name="调用点"/>
    <x:tableColumn id="3" name="spec"/>
    <x:tableColumn id="4" name="用户/流程"/>
    <x:tableColumn id="5" name="通用 context"/>
    <x:tableColumn id="6" name="领域 context"/>
    <x:tableColumn id="7" name="实际输入"/>
    <x:tableColumn id="8" name="可追溯"/>
    <x:tableColumn id="9" name="公开性"/>
    <x:tableColumn id="10" name="诊断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viderMatrix" displayName="ProviderMatrix" ref="A4:O12" headerRowCount="1" totalsRowCount="0" totalsRowShown="0">
  <x:autoFilter ref="A4:O12"/>
  <x:tableColumns count="15">
    <x:tableColumn id="1" name="提供商"/>
    <x:tableColumn id="2" name="模型 ID"/>
    <x:tableColumn id="3" name="版本/定位"/>
    <x:tableColumn id="4" name="Context"/>
    <x:tableColumn id="5" name="最大输出"/>
    <x:tableColumn id="6" name="思考控制"/>
    <x:tableColumn id="7" name="默认思考"/>
    <x:tableColumn id="8" name="平台能力"/>
    <x:tableColumn id="9" name="输入价/1M"/>
    <x:tableColumn id="10" name="输出价/1M"/>
    <x:tableColumn id="11" name="币种"/>
    <x:tableColumn id="12" name="价格/兼容 caveat"/>
    <x:tableColumn id="13" name="项目适配分"/>
    <x:tableColumn id="14" name="建议角色"/>
    <x:tableColumn id="15" name="官方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delFit" displayName="ModelFit" ref="A4:H13" headerRowCount="1" totalsRowCount="0" totalsRowShown="0">
  <x:autoFilter ref="A4:H13"/>
  <x:tableColumns count="8">
    <x:tableColumn id="1" name="工作负载"/>
    <x:tableColumn id="2" name="当前路线"/>
    <x:tableColumn id="3" name="当前风险"/>
    <x:tableColumn id="4" name="推荐基线"/>
    <x:tableColumn id="5" name="effort 策略"/>
    <x:tableColumn id="6" name="跨族 A/B"/>
    <x:tableColumn id="7" name="必须记录的指标"/>
    <x:tableColumn id="8" name="最小工程动作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alPlan" displayName="EvalPlan" ref="A4:H16" headerRowCount="1" totalsRowCount="0" totalsRowShown="0">
  <x:autoFilter ref="A4:H16"/>
  <x:tableColumns count="8">
    <x:tableColumn id="1" name="任务"/>
    <x:tableColumn id="2" name="建议样本数"/>
    <x:tableColumn id="3" name="Fixture"/>
    <x:tableColumn id="4" name="人工 Rubric"/>
    <x:tableColumn id="5" name="确定性检查"/>
    <x:tableColumn id="6" name="作者/编辑检查"/>
    <x:tableColumn id="7" name="比较配置"/>
    <x:tableColumn id="8" name="当前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admap" displayName="Roadmap" ref="A4:I17" headerRowCount="1" totalsRowCount="0" totalsRowShown="0">
  <x:autoFilter ref="A4:I17"/>
  <x:tableColumns count="9">
    <x:tableColumn id="1" name="优先级"/>
    <x:tableColumn id="2" name="问题"/>
    <x:tableColumn id="3" name="证据"/>
    <x:tableColumn id="4" name="用户影响"/>
    <x:tableColumn id="5" name="最小方案"/>
    <x:tableColumn id="6" name="验收标准"/>
    <x:tableColumn id="7" name="落点"/>
    <x:tableColumn id="8" name="规模"/>
    <x:tableColumn id="9" name="依赖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idenceIndex" displayName="EvidenceIndex" ref="A4:G34" headerRowCount="1" totalsRowCount="0" totalsRowShown="0">
  <x:autoFilter ref="A4:G34"/>
  <x:tableColumns count="7">
    <x:tableColumn id="1" name="ID"/>
    <x:tableColumn id="2" name="类型"/>
    <x:tableColumn id="3" name="来源"/>
    <x:tableColumn id="4" name="支持的结论"/>
    <x:tableColumn id="5" name="范围"/>
    <x:tableColumn id="6" name="核对日"/>
    <x:tableColumn id="7" name="路径/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26640d27d247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a00741c08145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f882a6bd214c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19f4fa0e694ec6" /><Relationship Type="http://schemas.openxmlformats.org/officeDocument/2006/relationships/table" Target="/xl/tables/table4.xml" Id="R7c7eda879b5940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314b47f1c0248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39fed1370d34b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8d2b58f5ec042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17cc7db3c9447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e11409df145424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d13a4410f424b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1.109999656677246" hidden="0" customWidth="1"/>
    <x:col min="3" max="3" width="11.109999656677246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1.109999656677246" hidden="0" customWidth="1"/>
    <x:col min="8" max="8" width="11.109999656677246" hidden="0" customWidth="1"/>
    <x:col min="9" max="9" width="10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</x:cols>
  <x:sheetData>
    <x:row r="1" ht="28.5" customHeight="1">
      <x:c r="A1" s="129" t="str">
        <x:v>novelAssist-dsh 项目评估图谱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</x:row>
    <x:row r="2" ht="25.5" customHeight="1">
      <x:c r="A2" s="130" t="str">
        <x:v>诊断时点 2026-09-01 · main@d4d8f4858e10 · CI default/BGE 双 profile 绿色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  <x:c r="N2" s="130"/>
    </x:row>
    <x:row r="3">
      <x:c r="A3" s="131"/>
      <x:c r="B3" s="131"/>
      <x:c r="C3" s="131"/>
      <x:c r="D3" s="131"/>
      <x:c r="E3" s="131"/>
      <x:c r="F3" s="131"/>
      <x:c r="G3" s="131"/>
      <x:c r="H3" s="131"/>
      <x:c r="I3" s="131"/>
      <x:c r="J3" s="131"/>
      <x:c r="K3" s="131"/>
      <x:c r="L3" s="131"/>
      <x:c r="M3" s="131"/>
      <x:c r="N3" s="131"/>
    </x:row>
    <x:row r="4">
      <x:c r="A4" s="132" t="str">
        <x:v>Workspaces</x:v>
      </x:c>
      <x:c r="B4" s="132"/>
      <x:c r="C4" s="133" t="str">
        <x:v>Agent tools</x:v>
      </x:c>
      <x:c r="D4" s="133"/>
      <x:c r="E4" s="134" t="str">
        <x:v>RPC endpoints</x:v>
      </x:c>
      <x:c r="F4" s="134"/>
      <x:c r="G4" s="135" t="str">
        <x:v>test/it 声明</x:v>
      </x:c>
      <x:c r="H4" s="135"/>
      <x:c r="I4" s="136" t="str">
        <x:v>模块平均成熟度</x:v>
      </x:c>
      <x:c r="J4" s="136"/>
      <x:c r="K4" s="137" t="str">
        <x:v>P0 项</x:v>
      </x:c>
      <x:c r="L4" s="137"/>
      <x:c r="M4" s="131"/>
      <x:c r="N4" s="131"/>
    </x:row>
    <x:row r="5" ht="31.5" customHeight="1">
      <x:c r="A5" s="138" t="n">
        <x:f>COUNTA('01_模块成熟度'!$A$5:$A$20)</x:f>
        <x:v>16</x:v>
      </x:c>
      <x:c r="B5" s="138"/>
      <x:c r="C5" s="139" t="n">
        <x:f>39</x:f>
        <x:v>39</x:v>
      </x:c>
      <x:c r="D5" s="139"/>
      <x:c r="E5" s="140" t="n">
        <x:f>14</x:f>
        <x:v>14</x:v>
      </x:c>
      <x:c r="F5" s="140"/>
      <x:c r="G5" s="141" t="n">
        <x:f>SUM('01_模块成熟度'!$F$5:$F$20)</x:f>
        <x:v>1390</x:v>
      </x:c>
      <x:c r="H5" s="141"/>
      <x:c r="I5" s="142" t="n">
        <x:f>ROUND(AVERAGE('01_模块成熟度'!$N$5:$N$20),0)</x:f>
        <x:v>70</x:v>
      </x:c>
      <x:c r="J5" s="142"/>
      <x:c r="K5" s="143" t="n">
        <x:f>COUNTIF('08_路线图'!$A$5:$A$17,"P0")</x:f>
        <x:v>6</x:v>
      </x:c>
      <x:c r="L5" s="143"/>
      <x:c r="M5" s="131"/>
      <x:c r="N5" s="131"/>
    </x:row>
    <x:row r="6" ht="31.5" customHeight="1">
      <x:c r="A6" s="138"/>
      <x:c r="B6" s="138"/>
      <x:c r="C6" s="139"/>
      <x:c r="D6" s="139"/>
      <x:c r="E6" s="140"/>
      <x:c r="F6" s="140"/>
      <x:c r="G6" s="141"/>
      <x:c r="H6" s="141"/>
      <x:c r="I6" s="142"/>
      <x:c r="J6" s="142"/>
      <x:c r="K6" s="143"/>
      <x:c r="L6" s="143"/>
      <x:c r="M6" s="131"/>
      <x:c r="N6" s="131"/>
    </x:row>
    <x:row r="7">
      <x:c r="A7" s="131"/>
      <x:c r="B7" s="131"/>
      <x:c r="C7" s="131"/>
      <x:c r="D7" s="131"/>
      <x:c r="E7" s="131"/>
      <x:c r="F7" s="131"/>
      <x:c r="G7" s="131"/>
      <x:c r="H7" s="131"/>
      <x:c r="I7" s="131"/>
      <x:c r="J7" s="131"/>
      <x:c r="K7" s="131"/>
      <x:c r="L7" s="131"/>
      <x:c r="M7" s="131"/>
      <x:c r="N7" s="131"/>
    </x:row>
    <x:row r="8">
      <x:c r="A8" s="144" t="str">
        <x:v>总体判断：工程底座强，产品闭环中上；下一阶段的主矛盾不是继续增加工具数量，而是把模型执行参数、上下文证据、真实效果评测三者闭成一条可审计链。</x:v>
      </x:c>
      <x:c r="B8" s="144"/>
      <x:c r="C8" s="144"/>
      <x:c r="D8" s="144"/>
      <x:c r="E8" s="144"/>
      <x:c r="F8" s="144"/>
      <x:c r="G8" s="144"/>
      <x:c r="H8" s="144"/>
      <x:c r="I8" s="131"/>
      <x:c r="J8" s="131"/>
      <x:c r="K8" s="131"/>
      <x:c r="L8" s="131"/>
      <x:c r="M8" s="131"/>
      <x:c r="N8" s="131"/>
    </x:row>
    <x:row r="9">
      <x:c r="A9" s="144"/>
      <x:c r="B9" s="144"/>
      <x:c r="C9" s="144"/>
      <x:c r="D9" s="144"/>
      <x:c r="E9" s="144"/>
      <x:c r="F9" s="144"/>
      <x:c r="G9" s="144"/>
      <x:c r="H9" s="144"/>
      <x:c r="I9" s="131"/>
      <x:c r="J9" s="131"/>
      <x:c r="K9" s="131"/>
      <x:c r="L9" s="131"/>
      <x:c r="M9" s="131"/>
      <x:c r="N9" s="131"/>
    </x:row>
    <x:row r="10">
      <x:c r="A10" s="144"/>
      <x:c r="B10" s="144"/>
      <x:c r="C10" s="144"/>
      <x:c r="D10" s="144"/>
      <x:c r="E10" s="144"/>
      <x:c r="F10" s="144"/>
      <x:c r="G10" s="144"/>
      <x:c r="H10" s="144"/>
      <x:c r="I10" s="131"/>
      <x:c r="J10" s="131"/>
      <x:c r="K10" s="131"/>
      <x:c r="L10" s="131"/>
      <x:c r="M10" s="131"/>
      <x:c r="N10" s="131"/>
    </x:row>
    <x:row r="11">
      <x:c r="A11" s="144"/>
      <x:c r="B11" s="144"/>
      <x:c r="C11" s="144"/>
      <x:c r="D11" s="144"/>
      <x:c r="E11" s="144"/>
      <x:c r="F11" s="144"/>
      <x:c r="G11" s="144"/>
      <x:c r="H11" s="144"/>
      <x:c r="I11" s="131"/>
      <x:c r="J11" s="131"/>
      <x:c r="K11" s="131"/>
      <x:c r="L11" s="131"/>
      <x:c r="M11" s="131"/>
      <x:c r="N11" s="131"/>
    </x:row>
    <x:row r="12">
      <x:c r="A12" s="131"/>
      <x:c r="B12" s="131"/>
      <x:c r="C12" s="131"/>
      <x:c r="D12" s="131"/>
      <x:c r="E12" s="131"/>
      <x:c r="F12" s="131"/>
      <x:c r="G12" s="131"/>
      <x:c r="H12" s="131"/>
      <x:c r="I12" s="131"/>
      <x:c r="J12" s="131"/>
      <x:c r="K12" s="131"/>
      <x:c r="L12" s="131"/>
      <x:c r="M12" s="131"/>
      <x:c r="N12" s="131"/>
    </x:row>
    <x:row r="13">
      <x:c r="A13" s="145" t="str">
        <x:v>最高风险</x:v>
      </x:c>
      <x:c r="B13" s="145" t="str">
        <x:v>证据</x:v>
      </x:c>
      <x:c r="C13" s="145" t="str">
        <x:v>结论</x:v>
      </x:c>
      <x:c r="D13" s="145" t="str">
        <x:v>立即动作</x:v>
      </x:c>
      <x:c r="E13" s="145" t="str">
        <x:v>负责人</x:v>
      </x:c>
      <x:c r="F13" s="145" t="str">
        <x:v>级别</x:v>
      </x:c>
      <x:c r="G13" s="145" t="str">
        <x:v>影响面</x:v>
      </x:c>
      <x:c r="H13" s="145" t="str">
        <x:v>验收</x:v>
      </x:c>
      <x:c r="I13" s="131"/>
      <x:c r="J13" s="131"/>
      <x:c r="K13" s="131"/>
      <x:c r="L13" s="131"/>
      <x:c r="M13" s="131"/>
      <x:c r="N13" s="131"/>
    </x:row>
    <x:row r="14" ht="43.5" customHeight="1">
      <x:c r="A14" s="146" t="str">
        <x:v>内容手默认 deepseek-chat 已退役</x:v>
      </x:c>
      <x:c r="B14" s="147" t="str">
        <x:v>官方 2026-07-24</x:v>
      </x:c>
      <x:c r="C14" s="147" t="str">
        <x:v>默认运行可能不可用</x:v>
      </x:c>
      <x:c r="D14" s="147" t="str">
        <x:v>改 deepseek-v4-flash</x:v>
      </x:c>
      <x:c r="E14" s="147" t="str">
        <x:v>dsh</x:v>
      </x:c>
      <x:c r="F14" s="147" t="str">
        <x:v>P0</x:v>
      </x:c>
      <x:c r="G14" s="147" t="str">
        <x:v>全部内容步</x:v>
      </x:c>
      <x:c r="H14" s="148" t="str">
        <x:v>effective model 回执</x:v>
      </x:c>
      <x:c r="I14" s="131"/>
      <x:c r="J14" s="131"/>
      <x:c r="K14" s="131"/>
      <x:c r="L14" s="131"/>
      <x:c r="M14" s="131"/>
      <x:c r="N14" s="131"/>
    </x:row>
    <x:row r="15" ht="43.5" customHeight="1">
      <x:c r="A15" s="149" t="str">
        <x:v>reasoningEffort 未透传</x:v>
      </x:c>
      <x:c r="B15" s="150" t="str">
        <x:v>DSH types 支持，provider 未写</x:v>
      </x:c>
      <x:c r="C15" s="150" t="str">
        <x:v>high/max 不可控</x:v>
      </x:c>
      <x:c r="D15" s="150" t="str">
        <x:v>加能力白名单/透传</x:v>
      </x:c>
      <x:c r="E15" s="150" t="str">
        <x:v>llm-step+dsh</x:v>
      </x:c>
      <x:c r="F15" s="150" t="str">
        <x:v>P0</x:v>
      </x:c>
      <x:c r="G15" s="150" t="str">
        <x:v>模型质量/成本</x:v>
      </x:c>
      <x:c r="H15" s="151" t="str">
        <x:v>低/高/max 实测</x:v>
      </x:c>
      <x:c r="I15" s="131"/>
      <x:c r="J15" s="131"/>
      <x:c r="K15" s="131"/>
      <x:c r="L15" s="131"/>
      <x:c r="M15" s="131"/>
      <x:c r="N15" s="131"/>
    </x:row>
    <x:row r="16" ht="43.5" customHeight="1">
      <x:c r="A16" s="149" t="str">
        <x:v>structure_analysis 空上下文</x:v>
      </x:c>
      <x:c r="B16" s="150" t="str">
        <x:v>orchestrate 未传 context</x:v>
      </x:c>
      <x:c r="C16" s="150" t="str">
        <x:v>模型无事实可分析</x:v>
      </x:c>
      <x:c r="D16" s="150" t="str">
        <x:v>注入 Scene/对象 manifest</x:v>
      </x:c>
      <x:c r="E16" s="150" t="str">
        <x:v>imports</x:v>
      </x:c>
      <x:c r="F16" s="150" t="str">
        <x:v>P0</x:v>
      </x:c>
      <x:c r="G16" s="150" t="str">
        <x:v>深导结构</x:v>
      </x:c>
      <x:c r="H16" s="151" t="str">
        <x:v>引用可重开</x:v>
      </x:c>
      <x:c r="I16" s="131"/>
      <x:c r="J16" s="131"/>
      <x:c r="K16" s="131"/>
      <x:c r="L16" s="131"/>
      <x:c r="M16" s="131"/>
      <x:c r="N16" s="131"/>
    </x:row>
    <x:row r="17" ht="43.5" customHeight="1">
      <x:c r="A17" s="149" t="str">
        <x:v>Context 仅覆盖 2/29</x:v>
      </x:c>
      <x:c r="B17" s="150" t="str">
        <x:v>调用点清单</x:v>
      </x:c>
      <x:c r="C17" s="150" t="str">
        <x:v>跨流程重复拼串</x:v>
      </x:c>
      <x:c r="D17" s="150" t="str">
        <x:v>强化现有 compiler</x:v>
      </x:c>
      <x:c r="E17" s="150" t="str">
        <x:v>context+domains</x:v>
      </x:c>
      <x:c r="F17" s="150" t="str">
        <x:v>P0</x:v>
      </x:c>
      <x:c r="G17" s="150" t="str">
        <x:v>写作/规划/世界</x:v>
      </x:c>
      <x:c r="H17" s="151" t="str">
        <x:v>来源/hash/snapshot</x:v>
      </x:c>
      <x:c r="I17" s="131"/>
      <x:c r="J17" s="131"/>
      <x:c r="K17" s="131"/>
      <x:c r="L17" s="131"/>
      <x:c r="M17" s="131"/>
      <x:c r="N17" s="131"/>
    </x:row>
    <x:row r="18" ht="43.5" customHeight="1">
      <x:c r="A18" s="149" t="str">
        <x:v>无小说质量 eval</x:v>
      </x:c>
      <x:c r="B18" s="150" t="str">
        <x:v>FakeProvider 行为测试</x:v>
      </x:c>
      <x:c r="C18" s="150" t="str">
        <x:v>不能证明 V4 Flash 优秀</x:v>
      </x:c>
      <x:c r="D18" s="150" t="str">
        <x:v>执行 07 Sheet 计划</x:v>
      </x:c>
      <x:c r="E18" s="150" t="str">
        <x:v>eval</x:v>
      </x:c>
      <x:c r="F18" s="150" t="str">
        <x:v>P0</x:v>
      </x:c>
      <x:c r="G18" s="150" t="str">
        <x:v>所有 AI 建议</x:v>
      </x:c>
      <x:c r="H18" s="151" t="str">
        <x:v>盲选+质量+成本</x:v>
      </x:c>
      <x:c r="I18" s="131"/>
      <x:c r="J18" s="131"/>
      <x:c r="K18" s="131"/>
      <x:c r="L18" s="131"/>
      <x:c r="M18" s="131"/>
      <x:c r="N18" s="131"/>
    </x:row>
    <x:row r="19" ht="43.5" customHeight="1">
      <x:c r="A19" s="152" t="str">
        <x:v>provider list wire 漂移</x:v>
      </x:c>
      <x:c r="B19" s="153" t="str">
        <x:v>真实返回对象，测试返回字符串</x:v>
      </x:c>
      <x:c r="C19" s="153" t="str">
        <x:v>预设可用性显示不可信</x:v>
      </x:c>
      <x:c r="D19" s="153" t="str">
        <x:v>map provider.id</x:v>
      </x:c>
      <x:c r="E19" s="153" t="str">
        <x:v>client</x:v>
      </x:c>
      <x:c r="F19" s="153" t="str">
        <x:v>P0</x:v>
      </x:c>
      <x:c r="G19" s="153" t="str">
        <x:v>模型配置</x:v>
      </x:c>
      <x:c r="H19" s="154" t="str">
        <x:v>真实 shape test</x:v>
      </x:c>
      <x:c r="I19" s="131"/>
      <x:c r="J19" s="131"/>
      <x:c r="K19" s="131"/>
      <x:c r="L19" s="131"/>
      <x:c r="M19" s="131"/>
      <x:c r="N19" s="131"/>
    </x:row>
    <x:row r="20">
      <x:c r="A20" s="131"/>
      <x:c r="B20" s="131"/>
      <x:c r="C20" s="131"/>
      <x:c r="D20" s="131"/>
      <x:c r="E20" s="131"/>
      <x:c r="F20" s="131"/>
      <x:c r="G20" s="131"/>
      <x:c r="H20" s="131"/>
      <x:c r="I20" s="131"/>
      <x:c r="J20" s="131"/>
      <x:c r="K20" s="131"/>
      <x:c r="L20" s="131"/>
      <x:c r="M20" s="131"/>
      <x:c r="N20" s="131"/>
    </x:row>
    <x:row r="21">
      <x:c r="A21" s="155" t="str">
        <x:v>优先顺序</x:v>
      </x:c>
      <x:c r="B21" s="155" t="str">
        <x:v>动作</x:v>
      </x:c>
      <x:c r="C21" s="155" t="str">
        <x:v>为什么现在</x:v>
      </x:c>
      <x:c r="D21" s="155" t="str">
        <x:v>最小落点</x:v>
      </x:c>
      <x:c r="E21" s="155" t="str">
        <x:v>完成信号</x:v>
      </x:c>
      <x:c r="F21" s="155" t="str">
        <x:v>不做</x:v>
      </x:c>
      <x:c r="G21" s="155" t="str">
        <x:v>规模</x:v>
      </x:c>
      <x:c r="H21" s="155" t="str">
        <x:v>对应 Sheet</x:v>
      </x:c>
      <x:c r="I21" s="131"/>
      <x:c r="J21" s="131"/>
      <x:c r="K21" s="131"/>
      <x:c r="L21" s="131"/>
      <x:c r="M21" s="131"/>
      <x:c r="N21" s="131"/>
    </x:row>
    <x:row r="22" ht="43.5" customHeight="1">
      <x:c r="A22" s="156" t="n">
        <x:v>1</x:v>
      </x:c>
      <x:c r="B22" s="157" t="str">
        <x:v>修模型 route/effort/采样兼容</x:v>
      </x:c>
      <x:c r="C22" s="157" t="str">
        <x:v>默认路径与当前 API 已漂移</x:v>
      </x:c>
      <x:c r="D22" s="157" t="str">
        <x:v>config/provider/profile</x:v>
      </x:c>
      <x:c r="E22" s="157" t="str">
        <x:v>真实 DeepSeek 请求参数可审计</x:v>
      </x:c>
      <x:c r="F22" s="157" t="str">
        <x:v>新 provider 系统</x:v>
      </x:c>
      <x:c r="G22" s="157" t="str">
        <x:v>M</x:v>
      </x:c>
      <x:c r="H22" s="158" t="str">
        <x:v>08_路线图</x:v>
      </x:c>
      <x:c r="I22" s="131"/>
      <x:c r="J22" s="159" t="str">
        <x:v>模块</x:v>
      </x:c>
      <x:c r="K22" s="160" t="str">
        <x:v>成熟度</x:v>
      </x:c>
      <x:c r="L22" s="131"/>
      <x:c r="M22" s="131"/>
      <x:c r="N22" s="131"/>
    </x:row>
    <x:row r="23" ht="43.5" customHeight="1">
      <x:c r="A23" s="161" t="n">
        <x:v>2</x:v>
      </x:c>
      <x:c r="B23" s="162" t="str">
        <x:v>修 structure context + 通用证据合同</x:v>
      </x:c>
      <x:c r="C23" s="162" t="str">
        <x:v>输入问题先于换模型</x:v>
      </x:c>
      <x:c r="D23" s="162" t="str">
        <x:v>imports/context/writing</x:v>
      </x:c>
      <x:c r="E23" s="162" t="str">
        <x:v>来源可重开、&lt;=budget</x:v>
      </x:c>
      <x:c r="F23" s="162" t="str">
        <x:v>第二 context service</x:v>
      </x:c>
      <x:c r="G23" s="162" t="str">
        <x:v>M</x:v>
      </x:c>
      <x:c r="H23" s="163" t="str">
        <x:v>03_上下文与复用</x:v>
      </x:c>
      <x:c r="I23" s="131"/>
      <x:c r="J23" s="161" t="str">
        <x:f>'01_模块成熟度'!A5</x:f>
        <x:v>vault</x:v>
      </x:c>
      <x:c r="K23" s="163" t="n">
        <x:f>'01_模块成熟度'!N5</x:f>
        <x:v>86</x:v>
      </x:c>
      <x:c r="L23" s="131"/>
      <x:c r="M23" s="131"/>
      <x:c r="N23" s="131"/>
    </x:row>
    <x:row r="24" ht="43.5" customHeight="1">
      <x:c r="A24" s="161" t="n">
        <x:v>3</x:v>
      </x:c>
      <x:c r="B24" s="162" t="str">
        <x:v>跑小说任务模型 A/B</x:v>
      </x:c>
      <x:c r="C24" s="162" t="str">
        <x:v>当前只有行为契约</x:v>
      </x:c>
      <x:c r="D24" s="162" t="str">
        <x:v>eval fixtures</x:v>
      </x:c>
      <x:c r="E24" s="162" t="str">
        <x:v>质量/成本/延迟表</x:v>
      </x:c>
      <x:c r="F24" s="162" t="str">
        <x:v>凭 benchmark 猜质量</x:v>
      </x:c>
      <x:c r="G24" s="162" t="str">
        <x:v>M</x:v>
      </x:c>
      <x:c r="H24" s="163" t="str">
        <x:v>07_评测计划</x:v>
      </x:c>
      <x:c r="I24" s="131"/>
      <x:c r="J24" s="161" t="str">
        <x:f>'01_模块成熟度'!A6</x:f>
        <x:v>store</x:v>
      </x:c>
      <x:c r="K24" s="163" t="n">
        <x:f>'01_模块成熟度'!N6</x:f>
        <x:v>89</x:v>
      </x:c>
      <x:c r="L24" s="131"/>
      <x:c r="M24" s="131"/>
      <x:c r="N24" s="131"/>
    </x:row>
    <x:row r="25" ht="43.5" customHeight="1">
      <x:c r="A25" s="161" t="n">
        <x:v>4</x:v>
      </x:c>
      <x:c r="B25" s="162" t="str">
        <x:v>修 RAG no-op/向量身份</x:v>
      </x:c>
      <x:c r="C25" s="162" t="str">
        <x:v>证据链不能信错误召回</x:v>
      </x:c>
      <x:c r="D25" s="162" t="str">
        <x:v>rag</x:v>
      </x:c>
      <x:c r="E25" s="162" t="str">
        <x:v>fresh 零写、坏向量降 lexical</x:v>
      </x:c>
      <x:c r="F25" s="162" t="str">
        <x:v>GraphRAG</x:v>
      </x:c>
      <x:c r="G25" s="162" t="str">
        <x:v>M</x:v>
      </x:c>
      <x:c r="H25" s="163" t="str">
        <x:v>08_路线图</x:v>
      </x:c>
      <x:c r="I25" s="131"/>
      <x:c r="J25" s="161" t="str">
        <x:f>'01_模块成熟度'!A7</x:f>
        <x:v>llm-step</x:v>
      </x:c>
      <x:c r="K25" s="163" t="n">
        <x:f>'01_模块成熟度'!N7</x:f>
        <x:v>81</x:v>
      </x:c>
      <x:c r="L25" s="131"/>
      <x:c r="M25" s="131"/>
      <x:c r="N25" s="131"/>
    </x:row>
    <x:row r="26" ht="43.5" customHeight="1">
      <x:c r="A26" s="161" t="n">
        <x:v>5</x:v>
      </x:c>
      <x:c r="B26" s="162" t="str">
        <x:v>补 workflow/书库/outline/world UI</x:v>
      </x:c>
      <x:c r="C26" s="162" t="str">
        <x:v>能力已在 Agent 工具，作者面断层</x:v>
      </x:c>
      <x:c r="D26" s="162" t="str">
        <x:v>client 只读/preview</x:v>
      </x:c>
      <x:c r="E26" s="162" t="str">
        <x:v>不依赖 raw 工具名完成</x:v>
      </x:c>
      <x:c r="F26" s="162" t="str">
        <x:v>重建旧 Vue</x:v>
      </x:c>
      <x:c r="G26" s="162" t="str">
        <x:v>L</x:v>
      </x:c>
      <x:c r="H26" s="163" t="str">
        <x:v>02_能力闭环</x:v>
      </x:c>
      <x:c r="I26" s="131"/>
      <x:c r="J26" s="161" t="str">
        <x:f>'01_模块成熟度'!A8</x:f>
        <x:v>context</x:v>
      </x:c>
      <x:c r="K26" s="163" t="n">
        <x:f>'01_模块成熟度'!N8</x:f>
        <x:v>41</x:v>
      </x:c>
      <x:c r="L26" s="131"/>
      <x:c r="M26" s="131"/>
      <x:c r="N26" s="131"/>
    </x:row>
    <x:row r="27" ht="43.5" customHeight="1">
      <x:c r="A27" s="164" t="n">
        <x:v>6</x:v>
      </x:c>
      <x:c r="B27" s="165" t="str">
        <x:v>Memory/POV 竖切与 publish/export</x:v>
      </x:c>
      <x:c r="C27" s="165" t="str">
        <x:v>形成长篇持续价值与交付终点</x:v>
      </x:c>
      <x:c r="D27" s="165" t="str">
        <x:v>memory/writing/store</x:v>
      </x:c>
      <x:c r="E27" s="165" t="str">
        <x:v>事件可证、导出可回放</x:v>
      </x:c>
      <x:c r="F27" s="165" t="str">
        <x:v>五表/云同步</x:v>
      </x:c>
      <x:c r="G27" s="165" t="str">
        <x:v>L</x:v>
      </x:c>
      <x:c r="H27" s="166" t="str">
        <x:v>08_路线图</x:v>
      </x:c>
      <x:c r="I27" s="131"/>
      <x:c r="J27" s="161" t="str">
        <x:f>'01_模块成熟度'!A9</x:f>
        <x:v>memory</x:v>
      </x:c>
      <x:c r="K27" s="163" t="n">
        <x:f>'01_模块成熟度'!N9</x:f>
        <x:v>44</x:v>
      </x:c>
      <x:c r="L27" s="131"/>
      <x:c r="M27" s="131"/>
      <x:c r="N27" s="131"/>
    </x:row>
    <x:row r="28">
      <x:c r="A28" s="131"/>
      <x:c r="B28" s="131"/>
      <x:c r="C28" s="131"/>
      <x:c r="D28" s="131"/>
      <x:c r="E28" s="131"/>
      <x:c r="F28" s="131"/>
      <x:c r="G28" s="131"/>
      <x:c r="H28" s="131"/>
      <x:c r="I28" s="131"/>
      <x:c r="J28" s="161" t="str">
        <x:f>'01_模块成熟度'!A10</x:f>
        <x:v>rag</x:v>
      </x:c>
      <x:c r="K28" s="163" t="n">
        <x:f>'01_模块成熟度'!N10</x:f>
        <x:v>59</x:v>
      </x:c>
      <x:c r="L28" s="131"/>
      <x:c r="M28" s="131"/>
      <x:c r="N28" s="131"/>
    </x:row>
    <x:row r="29">
      <x:c r="A29" s="167" t="str">
        <x:v>DeepSeek V4 Flash 结论：适合作为当前低成本主基线，官方支持 1M context、384K 输出、Tools/JSON/Responses；但“能提供优秀小说建议”尚未被本项目证实。先修真实参数与上下文，再做盲评；max 不应全局默认。</x:v>
      </x:c>
      <x:c r="B29" s="167"/>
      <x:c r="C29" s="167"/>
      <x:c r="D29" s="167"/>
      <x:c r="E29" s="167"/>
      <x:c r="F29" s="167"/>
      <x:c r="G29" s="167"/>
      <x:c r="H29" s="167"/>
      <x:c r="I29" s="131"/>
      <x:c r="J29" s="161" t="str">
        <x:f>'01_模块成熟度'!A11</x:f>
        <x:v>rag-bge</x:v>
      </x:c>
      <x:c r="K29" s="163" t="n">
        <x:f>'01_模块成熟度'!N11</x:f>
        <x:v>47</x:v>
      </x:c>
      <x:c r="L29" s="131"/>
      <x:c r="M29" s="131"/>
      <x:c r="N29" s="131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31"/>
      <x:c r="J30" s="161" t="str">
        <x:f>'01_模块成熟度'!A12</x:f>
        <x:v>trace</x:v>
      </x:c>
      <x:c r="K30" s="163" t="n">
        <x:f>'01_模块成熟度'!N12</x:f>
        <x:v>69</x:v>
      </x:c>
      <x:c r="L30" s="131"/>
      <x:c r="M30" s="131"/>
      <x:c r="N30" s="131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31"/>
      <x:c r="J31" s="161" t="str">
        <x:f>'01_模块成熟度'!A13</x:f>
        <x:v>imports</x:v>
      </x:c>
      <x:c r="K31" s="163" t="n">
        <x:f>'01_模块成熟度'!N13</x:f>
        <x:v>77</x:v>
      </x:c>
      <x:c r="L31" s="131"/>
      <x:c r="M31" s="131"/>
      <x:c r="N31" s="131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31"/>
      <x:c r="J32" s="161" t="str">
        <x:f>'01_模块成熟度'!A14</x:f>
        <x:v>outline</x:v>
      </x:c>
      <x:c r="K32" s="163" t="n">
        <x:f>'01_模块成熟度'!N14</x:f>
        <x:v>65</x:v>
      </x:c>
      <x:c r="L32" s="131"/>
      <x:c r="M32" s="131"/>
      <x:c r="N32" s="131"/>
    </x:row>
    <x:row r="33">
      <x:c r="A33" s="131"/>
      <x:c r="B33" s="131"/>
      <x:c r="C33" s="131"/>
      <x:c r="D33" s="131"/>
      <x:c r="E33" s="131"/>
      <x:c r="F33" s="131"/>
      <x:c r="G33" s="131"/>
      <x:c r="H33" s="131"/>
      <x:c r="I33" s="131"/>
      <x:c r="J33" s="161" t="str">
        <x:f>'01_模块成熟度'!A15</x:f>
        <x:v>writing</x:v>
      </x:c>
      <x:c r="K33" s="163" t="n">
        <x:f>'01_模块成熟度'!N15</x:f>
        <x:v>80</x:v>
      </x:c>
      <x:c r="L33" s="131"/>
      <x:c r="M33" s="131"/>
      <x:c r="N33" s="131"/>
    </x:row>
    <x:row r="34">
      <x:c r="A34" s="131"/>
      <x:c r="B34" s="131"/>
      <x:c r="C34" s="131"/>
      <x:c r="D34" s="131"/>
      <x:c r="E34" s="131"/>
      <x:c r="F34" s="131"/>
      <x:c r="G34" s="131"/>
      <x:c r="H34" s="131"/>
      <x:c r="I34" s="131"/>
      <x:c r="J34" s="161" t="str">
        <x:f>'01_模块成熟度'!A16</x:f>
        <x:v>world</x:v>
      </x:c>
      <x:c r="K34" s="163" t="n">
        <x:f>'01_模块成熟度'!N16</x:f>
        <x:v>77</x:v>
      </x:c>
      <x:c r="L34" s="131"/>
      <x:c r="M34" s="131"/>
      <x:c r="N34" s="131"/>
    </x:row>
    <x:row r="35">
      <x:c r="A35" s="131"/>
      <x:c r="B35" s="131"/>
      <x:c r="C35" s="131"/>
      <x:c r="D35" s="131"/>
      <x:c r="E35" s="131"/>
      <x:c r="F35" s="131"/>
      <x:c r="G35" s="131"/>
      <x:c r="H35" s="131"/>
      <x:c r="I35" s="131"/>
      <x:c r="J35" s="161" t="str">
        <x:f>'01_模块成熟度'!A17</x:f>
        <x:v>assistant</x:v>
      </x:c>
      <x:c r="K35" s="163" t="n">
        <x:f>'01_模块成熟度'!N17</x:f>
        <x:v>81</x:v>
      </x:c>
      <x:c r="L35" s="131"/>
      <x:c r="M35" s="131"/>
      <x:c r="N35" s="131"/>
    </x:row>
    <x:row r="36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61" t="str">
        <x:f>'01_模块成熟度'!A18</x:f>
        <x:v>dsh</x:v>
      </x:c>
      <x:c r="K36" s="163" t="n">
        <x:f>'01_模块成熟度'!N18</x:f>
        <x:v>85</x:v>
      </x:c>
      <x:c r="L36" s="131"/>
      <x:c r="M36" s="131"/>
      <x:c r="N36" s="131"/>
    </x:row>
    <x:row r="37">
      <x:c r="A37" s="131"/>
      <x:c r="B37" s="131"/>
      <x:c r="C37" s="131"/>
      <x:c r="D37" s="131"/>
      <x:c r="E37" s="131"/>
      <x:c r="F37" s="131"/>
      <x:c r="G37" s="131"/>
      <x:c r="H37" s="131"/>
      <x:c r="I37" s="131"/>
      <x:c r="J37" s="161" t="str">
        <x:f>'01_模块成熟度'!A19</x:f>
        <x:v>client</x:v>
      </x:c>
      <x:c r="K37" s="163" t="n">
        <x:f>'01_模块成熟度'!N19</x:f>
        <x:v>78</x:v>
      </x:c>
      <x:c r="L37" s="131"/>
      <x:c r="M37" s="131"/>
      <x:c r="N37" s="131"/>
    </x:row>
    <x:row r="38">
      <x:c r="A38" s="131"/>
      <x:c r="B38" s="131"/>
      <x:c r="C38" s="131"/>
      <x:c r="D38" s="131"/>
      <x:c r="E38" s="131"/>
      <x:c r="F38" s="131"/>
      <x:c r="G38" s="131"/>
      <x:c r="H38" s="131"/>
      <x:c r="I38" s="131"/>
      <x:c r="J38" s="164" t="str">
        <x:f>'01_模块成熟度'!A20</x:f>
        <x:v>preset</x:v>
      </x:c>
      <x:c r="K38" s="166" t="n">
        <x:f>'01_模块成熟度'!N20</x:f>
        <x:v>58</x:v>
      </x:c>
      <x:c r="L38" s="131"/>
      <x:c r="M38" s="131"/>
      <x:c r="N38" s="131"/>
    </x:row>
  </x:sheetData>
  <x:mergeCells>
    <x:mergeCell ref="A1:N1"/>
    <x:mergeCell ref="A2:N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H11"/>
    <x:mergeCell ref="A29:H32"/>
  </x:mergeCells>
  <x:pageMargins left="0.7" right="0.7" top="0.75" bottom="0.75" header="0.3" footer="0.3"/>
  <x:drawing xmlns:r="http://schemas.openxmlformats.org/officeDocument/2006/relationships" r:id="R7b26640d27d247f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4.440000534057617" hidden="0" customWidth="1"/>
    <x:col min="3" max="3" width="7.78000020980835" hidden="0" customWidth="1"/>
    <x:col min="4" max="4" width="8.890000343322754" hidden="0" customWidth="1"/>
    <x:col min="5" max="5" width="8.329999923706055" hidden="0" customWidth="1"/>
    <x:col min="6" max="6" width="10" hidden="0" customWidth="1"/>
    <x:col min="7" max="7" width="23.329999923706055" hidden="0" customWidth="1"/>
    <x:col min="8" max="8" width="8.329999923706055" hidden="0" customWidth="1"/>
    <x:col min="9" max="9" width="8.329999923706055" hidden="0" customWidth="1"/>
    <x:col min="10" max="10" width="8.329999923706055" hidden="0" customWidth="1"/>
    <x:col min="11" max="11" width="8.329999923706055" hidden="0" customWidth="1"/>
    <x:col min="12" max="12" width="8.329999923706055" hidden="0" customWidth="1"/>
    <x:col min="13" max="13" width="8.329999923706055" hidden="0" customWidth="1"/>
    <x:col min="14" max="14" width="8.890000343322754" hidden="0" customWidth="1"/>
    <x:col min="15" max="15" width="6.670000076293945" hidden="0" customWidth="1"/>
    <x:col min="16" max="16" width="12.220000267028809" hidden="0" customWidth="1"/>
    <x:col min="17" max="17" width="28.889999389648438" hidden="0" customWidth="1"/>
    <x:col min="18" max="18" width="28.889999389648438" hidden="0" customWidth="1"/>
    <x:col min="19" max="19" width="30" hidden="0" customWidth="1"/>
    <x:col min="20" max="20" width="28.889999389648438" hidden="0" customWidth="1"/>
  </x:cols>
  <x:sheetData>
    <x:row r="1" ht="28.5" customHeight="1">
      <x:c r="A1" s="129" t="str">
        <x:v>模块成熟度矩阵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</x:row>
    <x:row r="2" ht="25.5" customHeight="1">
      <x:c r="A2" s="130" t="str">
        <x:v>固定快照 d4d8f4858e10 · 16 workspaces · 权重来自 10_评分规则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  <x:c r="N2" s="130"/>
      <x:c r="O2" s="130"/>
      <x:c r="P2" s="130"/>
      <x:c r="Q2" s="130"/>
      <x:c r="R2" s="130"/>
      <x:c r="S2" s="130"/>
      <x:c r="T2" s="130"/>
    </x:row>
    <x:row r="3">
      <x:c r="A3" s="131"/>
      <x:c r="B3" s="131"/>
      <x:c r="C3" s="131"/>
      <x:c r="D3" s="131"/>
      <x:c r="E3" s="131"/>
      <x:c r="F3" s="131"/>
      <x:c r="G3" s="131"/>
      <x:c r="H3" s="131"/>
      <x:c r="I3" s="131"/>
      <x:c r="J3" s="131"/>
      <x:c r="K3" s="131"/>
      <x:c r="L3" s="131"/>
      <x:c r="M3" s="131"/>
      <x:c r="N3" s="131"/>
      <x:c r="O3" s="131"/>
      <x:c r="P3" s="131"/>
      <x:c r="Q3" s="131"/>
      <x:c r="R3" s="131"/>
      <x:c r="S3" s="131"/>
      <x:c r="T3" s="131"/>
    </x:row>
    <x:row r="4" ht="25.5" customHeight="1">
      <x:c r="A4" s="168" t="str">
        <x:v>模块</x:v>
      </x:c>
      <x:c r="B4" s="169" t="str">
        <x:v>职责</x:v>
      </x:c>
      <x:c r="C4" s="169" t="str">
        <x:v>src 文件</x:v>
      </x:c>
      <x:c r="D4" s="169" t="str">
        <x:v>src LOC</x:v>
      </x:c>
      <x:c r="E4" s="169" t="str">
        <x:v>测试文件</x:v>
      </x:c>
      <x:c r="F4" s="169" t="str">
        <x:v>test/it 声明</x:v>
      </x:c>
      <x:c r="G4" s="169" t="str">
        <x:v>公开入口</x:v>
      </x:c>
      <x:c r="H4" s="169" t="str">
        <x:v>用户可达</x:v>
      </x:c>
      <x:c r="I4" s="169" t="str">
        <x:v>功能深度</x:v>
      </x:c>
      <x:c r="J4" s="169" t="str">
        <x:v>集成复用</x:v>
      </x:c>
      <x:c r="K4" s="169" t="str">
        <x:v>可靠安全</x:v>
      </x:c>
      <x:c r="L4" s="169" t="str">
        <x:v>测试证据</x:v>
      </x:c>
      <x:c r="M4" s="169" t="str">
        <x:v>实效证据</x:v>
      </x:c>
      <x:c r="N4" s="169" t="str">
        <x:v>成熟度</x:v>
      </x:c>
      <x:c r="O4" s="169" t="str">
        <x:v>等级</x:v>
      </x:c>
      <x:c r="P4" s="169" t="str">
        <x:v>判断</x:v>
      </x:c>
      <x:c r="Q4" s="169" t="str">
        <x:v>关键证据</x:v>
      </x:c>
      <x:c r="R4" s="169" t="str">
        <x:v>主要缺口</x:v>
      </x:c>
      <x:c r="S4" s="169" t="str">
        <x:v>最小下一步</x:v>
      </x:c>
      <x:c r="T4" s="170" t="str">
        <x:v>证据路径</x:v>
      </x:c>
    </x:row>
    <x:row r="5" ht="46.5" customHeight="1">
      <x:c r="A5" s="171" t="str">
        <x:v>vault</x:v>
      </x:c>
      <x:c r="B5" s="172" t="str">
        <x:v>Vault 初始化、路径/绑定与 Git 基线</x:v>
      </x:c>
      <x:c r="C5" s="172" t="n">
        <x:v>3</x:v>
      </x:c>
      <x:c r="D5" s="172" t="n">
        <x:v>1771</x:v>
      </x:c>
      <x:c r="E5" s="172" t="n">
        <x:v>4</x:v>
      </x:c>
      <x:c r="F5" s="172" t="n">
        <x:v>78</x:v>
      </x:c>
      <x:c r="G5" s="172" t="str">
        <x:v>book create/open 与所有文件能力的根</x:v>
      </x:c>
      <x:c r="H5" s="173" t="n">
        <x:v>78</x:v>
      </x:c>
      <x:c r="I5" s="173" t="n">
        <x:v>90</x:v>
      </x:c>
      <x:c r="J5" s="173" t="n">
        <x:v>92</x:v>
      </x:c>
      <x:c r="K5" s="173" t="n">
        <x:v>94</x:v>
      </x:c>
      <x:c r="L5" s="173" t="n">
        <x:v>90</x:v>
      </x:c>
      <x:c r="M5" s="173" t="n">
        <x:v>65</x:v>
      </x:c>
      <x:c r="N5" s="173" t="n">
        <x:f>ROUND(H5*'10_评分规则'!$B$5+I5*'10_评分规则'!$B$6+J5*'10_评分规则'!$B$7+K5*'10_评分规则'!$B$8+L5*'10_评分规则'!$B$9+M5*'10_评分规则'!$B$10,0)</x:f>
        <x:v>86</x:v>
      </x:c>
      <x:c r="O5" s="172" t="str">
        <x:f>IF(N5&gt;=85,"A",IF(N5&gt;=70,"B",IF(N5&gt;=55,"C",IF(N5&gt;=40,"D","E"))))</x:f>
        <x:v>A</x:v>
      </x:c>
      <x:c r="P5" s="172" t="str">
        <x:v>强</x:v>
      </x:c>
      <x:c r="Q5" s="172" t="str">
        <x:v>一书一 Git Vault；初始化、真实路径与 symlink 门禁成熟</x:v>
      </x:c>
      <x:c r="R5" s="172" t="str">
        <x:v>多书 UI 仍未覆盖</x:v>
      </x:c>
      <x:c r="S5" s="172" t="str">
        <x:v>保持边界；只补 UI，不改文件真相</x:v>
      </x:c>
      <x:c r="T5" s="174" t="str">
        <x:v>packages/novelcraft/vault/src；test/</x:v>
      </x:c>
    </x:row>
    <x:row r="6" ht="46.5" customHeight="1">
      <x:c r="A6" s="175" t="str">
        <x:v>store</x:v>
      </x:c>
      <x:c r="B6" s="176" t="str">
        <x:v>frontmatter、索引、采用、CAS、事务</x:v>
      </x:c>
      <x:c r="C6" s="176" t="n">
        <x:v>26</x:v>
      </x:c>
      <x:c r="D6" s="176" t="n">
        <x:v>10448</x:v>
      </x:c>
      <x:c r="E6" s="176" t="n">
        <x:v>19</x:v>
      </x:c>
      <x:c r="F6" s="176" t="n">
        <x:v>347</x:v>
      </x:c>
      <x:c r="G6" s="176" t="str">
        <x:v>index/adopt + 全部 canonical 写底座</x:v>
      </x:c>
      <x:c r="H6" s="177" t="n">
        <x:v>80</x:v>
      </x:c>
      <x:c r="I6" s="177" t="n">
        <x:v>92</x:v>
      </x:c>
      <x:c r="J6" s="177" t="n">
        <x:v>95</x:v>
      </x:c>
      <x:c r="K6" s="177" t="n">
        <x:v>96</x:v>
      </x:c>
      <x:c r="L6" s="177" t="n">
        <x:v>95</x:v>
      </x:c>
      <x:c r="M6" s="177" t="n">
        <x:v>65</x:v>
      </x:c>
      <x:c r="N6" s="177" t="n">
        <x:f>ROUND(H6*'10_评分规则'!$B$5+I6*'10_评分规则'!$B$6+J6*'10_评分规则'!$B$7+K6*'10_评分规则'!$B$8+L6*'10_评分规则'!$B$9+M6*'10_评分规则'!$B$10,0)</x:f>
        <x:v>89</x:v>
      </x:c>
      <x:c r="O6" s="176" t="str">
        <x:f>IF(N6&gt;=85,"A",IF(N6&gt;=70,"B",IF(N6&gt;=55,"C",IF(N6&gt;=40,"D","E"))))</x:f>
        <x:v>A</x:v>
      </x:c>
      <x:c r="P6" s="176" t="str">
        <x:v>强</x:v>
      </x:c>
      <x:c r="Q6" s="176" t="str">
        <x:v>N32 目标路径事务、精确 stage/commit、崩溃恢复</x:v>
      </x:c>
      <x:c r="R6" s="176" t="str">
        <x:v>少量裸 commit 点仍待统一复核</x:v>
      </x:c>
      <x:c r="S6" s="176" t="str">
        <x:v>触碰写面时逐点迁入既有事务 seam</x:v>
      </x:c>
      <x:c r="T6" s="178" t="str">
        <x:v>packages/novelcraft/store/src；docs/adr/0021-*</x:v>
      </x:c>
    </x:row>
    <x:row r="7" ht="46.5" customHeight="1">
      <x:c r="A7" s="175" t="str">
        <x:v>llm-step</x:v>
      </x:c>
      <x:c r="B7" s="176" t="str">
        <x:v>受控内容步、Schema、预算、超时、journal</x:v>
      </x:c>
      <x:c r="C7" s="176" t="n">
        <x:v>13</x:v>
      </x:c>
      <x:c r="D7" s="176" t="n">
        <x:v>2030</x:v>
      </x:c>
      <x:c r="E7" s="176" t="n">
        <x:v>7</x:v>
      </x:c>
      <x:c r="F7" s="176" t="n">
        <x:v>120</x:v>
      </x:c>
      <x:c r="G7" s="176" t="str">
        <x:v>novelcraft_llm_step；所有内容手流程</x:v>
      </x:c>
      <x:c r="H7" s="177" t="n">
        <x:v>75</x:v>
      </x:c>
      <x:c r="I7" s="177" t="n">
        <x:v>86</x:v>
      </x:c>
      <x:c r="J7" s="177" t="n">
        <x:v>93</x:v>
      </x:c>
      <x:c r="K7" s="177" t="n">
        <x:v>88</x:v>
      </x:c>
      <x:c r="L7" s="177" t="n">
        <x:v>92</x:v>
      </x:c>
      <x:c r="M7" s="177" t="n">
        <x:v>30</x:v>
      </x:c>
      <x:c r="N7" s="177" t="n">
        <x:f>ROUND(H7*'10_评分规则'!$B$5+I7*'10_评分规则'!$B$6+J7*'10_评分规则'!$B$7+K7*'10_评分规则'!$B$8+L7*'10_评分规则'!$B$9+M7*'10_评分规则'!$B$10,0)</x:f>
        <x:v>81</x:v>
      </x:c>
      <x:c r="O7" s="176" t="str">
        <x:f>IF(N7&gt;=85,"A",IF(N7&gt;=70,"B",IF(N7&gt;=55,"C",IF(N7&gt;=40,"D","E"))))</x:f>
        <x:v>B</x:v>
      </x:c>
      <x:c r="P7" s="176" t="str">
        <x:v>强底座/弱实效</x:v>
      </x:c>
      <x:c r="Q7" s="176" t="str">
        <x:v>首轮 Schema 注入、执行画像与回放指纹已接通</x:v>
      </x:c>
      <x:c r="R7" s="176" t="str">
        <x:v>无 fiction 质量评测；缺 reasoning effort 模型能力面</x:v>
      </x:c>
      <x:c r="S7" s="176" t="str">
        <x:v>先补能力透传与 eval，不再扩展通用抽象</x:v>
      </x:c>
      <x:c r="T7" s="178" t="str">
        <x:v>packages/novelcraft/llm-step/src；specs/prompts/catalog.md</x:v>
      </x:c>
    </x:row>
    <x:row r="8" ht="46.5" customHeight="1">
      <x:c r="A8" s="175" t="str">
        <x:v>context</x:v>
      </x:c>
      <x:c r="B8" s="176" t="str">
        <x:v>确定性上下文预算编译</x:v>
      </x:c>
      <x:c r="C8" s="176" t="n">
        <x:v>2</x:v>
      </x:c>
      <x:c r="D8" s="176" t="n">
        <x:v>134</x:v>
      </x:c>
      <x:c r="E8" s="176" t="n">
        <x:v>1</x:v>
      </x:c>
      <x:c r="F8" s="176" t="n">
        <x:v>5</x:v>
      </x:c>
      <x:c r="G8" s="176" t="str">
        <x:v>仅间接服务续写提案/正文候选</x:v>
      </x:c>
      <x:c r="H8" s="177" t="n">
        <x:v>35</x:v>
      </x:c>
      <x:c r="I8" s="177" t="n">
        <x:v>42</x:v>
      </x:c>
      <x:c r="J8" s="177" t="n">
        <x:v>30</x:v>
      </x:c>
      <x:c r="K8" s="177" t="n">
        <x:v>55</x:v>
      </x:c>
      <x:c r="L8" s="177" t="n">
        <x:v>60</x:v>
      </x:c>
      <x:c r="M8" s="177" t="n">
        <x:v>15</x:v>
      </x:c>
      <x:c r="N8" s="177" t="n">
        <x:f>ROUND(H8*'10_评分规则'!$B$5+I8*'10_评分规则'!$B$6+J8*'10_评分规则'!$B$7+K8*'10_评分规则'!$B$8+L8*'10_评分规则'!$B$9+M8*'10_评分规则'!$B$10,0)</x:f>
        <x:v>41</x:v>
      </x:c>
      <x:c r="O8" s="176" t="str">
        <x:f>IF(N8&gt;=85,"A",IF(N8&gt;=70,"B",IF(N8&gt;=55,"C",IF(N8&gt;=40,"D","E"))))</x:f>
        <x:v>D</x:v>
      </x:c>
      <x:c r="P8" s="176" t="str">
        <x:v>原型</x:v>
      </x:c>
      <x:c r="Q8" s="176" t="str">
        <x:v>P0-P4 tier 与预算事件存在</x:v>
      </x:c>
      <x:c r="R8" s="176" t="str">
        <x:v>仅 2/29 LLM 调用点消费；P4 RAG 未接；预算非硬上限；无来源哈希</x:v>
      </x:c>
      <x:c r="S8" s="176" t="str">
        <x:v>在现有函数加硬预算/manifest/snapshot，再扩消费者</x:v>
      </x:c>
      <x:c r="T8" s="178" t="str">
        <x:v>packages/novelcraft/context/src/context.ts</x:v>
      </x:c>
    </x:row>
    <x:row r="9" ht="46.5" customHeight="1">
      <x:c r="A9" s="175" t="str">
        <x:v>memory</x:v>
      </x:c>
      <x:c r="B9" s="176" t="str">
        <x:v>事件账本与状态投影</x:v>
      </x:c>
      <x:c r="C9" s="176" t="n">
        <x:v>2</x:v>
      </x:c>
      <x:c r="D9" s="176" t="n">
        <x:v>190</x:v>
      </x:c>
      <x:c r="E9" s="176" t="n">
        <x:v>1</x:v>
      </x:c>
      <x:c r="F9" s="176" t="n">
        <x:v>9</x:v>
      </x:c>
      <x:c r="G9" s="176" t="str">
        <x:v>章节档案只读投影</x:v>
      </x:c>
      <x:c r="H9" s="177" t="n">
        <x:v>30</x:v>
      </x:c>
      <x:c r="I9" s="177" t="n">
        <x:v>35</x:v>
      </x:c>
      <x:c r="J9" s="177" t="n">
        <x:v>35</x:v>
      </x:c>
      <x:c r="K9" s="177" t="n">
        <x:v>70</x:v>
      </x:c>
      <x:c r="L9" s="177" t="n">
        <x:v>65</x:v>
      </x:c>
      <x:c r="M9" s="177" t="n">
        <x:v>20</x:v>
      </x:c>
      <x:c r="N9" s="177" t="n">
        <x:f>ROUND(H9*'10_评分规则'!$B$5+I9*'10_评分规则'!$B$6+J9*'10_评分规则'!$B$7+K9*'10_评分规则'!$B$8+L9*'10_评分规则'!$B$9+M9*'10_评分规则'!$B$10,0)</x:f>
        <x:v>44</x:v>
      </x:c>
      <x:c r="O9" s="176" t="str">
        <x:f>IF(N9&gt;=85,"A",IF(N9&gt;=70,"B",IF(N9&gt;=55,"C",IF(N9&gt;=40,"D","E"))))</x:f>
        <x:v>D</x:v>
      </x:c>
      <x:c r="P9" s="176" t="str">
        <x:v>原型</x:v>
      </x:c>
      <x:c r="Q9" s="176" t="str">
        <x:v>纯函数投影与 dossier 读面已接</x:v>
      </x:c>
      <x:c r="R9" s="176" t="str">
        <x:v>生产 writer 已回撤；POV/知识边界无消费链</x:v>
      </x:c>
      <x:c r="S9" s="176" t="str">
        <x:v>只做一条 adopt→event→next proposal 竖切</x:v>
      </x:c>
      <x:c r="T9" s="178" t="str">
        <x:v>packages/novelcraft/memory/src；store chapter dossier</x:v>
      </x:c>
    </x:row>
    <x:row r="10" ht="46.5" customHeight="1">
      <x:c r="A10" s="175" t="str">
        <x:v>rag</x:v>
      </x:c>
      <x:c r="B10" s="176" t="str">
        <x:v>BM25、LLM rerank、向量融合与来源重开</x:v>
      </x:c>
      <x:c r="C10" s="176" t="n">
        <x:v>8</x:v>
      </x:c>
      <x:c r="D10" s="176" t="n">
        <x:v>802</x:v>
      </x:c>
      <x:c r="E10" s="176" t="n">
        <x:v>7</x:v>
      </x:c>
      <x:c r="F10" s="176" t="n">
        <x:v>49</x:v>
      </x:c>
      <x:c r="G10" s="176" t="str">
        <x:v>rag_search/rag_embed；地图册证据</x:v>
      </x:c>
      <x:c r="H10" s="177" t="n">
        <x:v>60</x:v>
      </x:c>
      <x:c r="I10" s="177" t="n">
        <x:v>70</x:v>
      </x:c>
      <x:c r="J10" s="177" t="n">
        <x:v>48</x:v>
      </x:c>
      <x:c r="K10" s="177" t="n">
        <x:v>55</x:v>
      </x:c>
      <x:c r="L10" s="177" t="n">
        <x:v>80</x:v>
      </x:c>
      <x:c r="M10" s="177" t="n">
        <x:v>25</x:v>
      </x:c>
      <x:c r="N10" s="177" t="n">
        <x:f>ROUND(H10*'10_评分规则'!$B$5+I10*'10_评分规则'!$B$6+J10*'10_评分规则'!$B$7+K10*'10_评分规则'!$B$8+L10*'10_评分规则'!$B$9+M10*'10_评分规则'!$B$10,0)</x:f>
        <x:v>59</x:v>
      </x:c>
      <x:c r="O10" s="176" t="str">
        <x:f>IF(N10&gt;=85,"A",IF(N10&gt;=70,"B",IF(N10&gt;=55,"C",IF(N10&gt;=40,"D","E"))))</x:f>
        <x:v>C</x:v>
      </x:c>
      <x:c r="P10" s="176" t="str">
        <x:v>部分可用</x:v>
      </x:c>
      <x:c r="Q10" s="176" t="str">
        <x:v>词法召回、typed total/truncated/open_target、降级可见</x:v>
      </x:c>
      <x:c r="R10" s="176" t="str">
        <x:v>未进入通用写作上下文；fresh sync 隐藏写；向量身份/维度校验不足</x:v>
      </x:c>
      <x:c r="S10" s="176" t="str">
        <x:v>复用现有索引，先做 no-op 与向量 validator</x:v>
      </x:c>
      <x:c r="T10" s="178" t="str">
        <x:v>packages/novelcraft/rag/src/search.ts；rag.ts</x:v>
      </x:c>
    </x:row>
    <x:row r="11" ht="46.5" customHeight="1">
      <x:c r="A11" s="175" t="str">
        <x:v>rag-bge</x:v>
      </x:c>
      <x:c r="B11" s="176" t="str">
        <x:v>可选本地 BGE 嵌入适配</x:v>
      </x:c>
      <x:c r="C11" s="176" t="n">
        <x:v>1</x:v>
      </x:c>
      <x:c r="D11" s="176" t="n">
        <x:v>124</x:v>
      </x:c>
      <x:c r="E11" s="176" t="n">
        <x:v>1</x:v>
      </x:c>
      <x:c r="F11" s="176" t="n">
        <x:v>8</x:v>
      </x:c>
      <x:c r="G11" s="176" t="str">
        <x:v>显式 rag_embed；默认 profile 物理省略</x:v>
      </x:c>
      <x:c r="H11" s="177" t="n">
        <x:v>35</x:v>
      </x:c>
      <x:c r="I11" s="177" t="n">
        <x:v>45</x:v>
      </x:c>
      <x:c r="J11" s="177" t="n">
        <x:v>50</x:v>
      </x:c>
      <x:c r="K11" s="177" t="n">
        <x:v>60</x:v>
      </x:c>
      <x:c r="L11" s="177" t="n">
        <x:v>65</x:v>
      </x:c>
      <x:c r="M11" s="177" t="n">
        <x:v>20</x:v>
      </x:c>
      <x:c r="N11" s="177" t="n">
        <x:f>ROUND(H11*'10_评分规则'!$B$5+I11*'10_评分规则'!$B$6+J11*'10_评分规则'!$B$7+K11*'10_评分规则'!$B$8+L11*'10_评分规则'!$B$9+M11*'10_评分规则'!$B$10,0)</x:f>
        <x:v>47</x:v>
      </x:c>
      <x:c r="O11" s="176" t="str">
        <x:f>IF(N11&gt;=85,"A",IF(N11&gt;=70,"B",IF(N11&gt;=55,"C",IF(N11&gt;=40,"D","E"))))</x:f>
        <x:v>D</x:v>
      </x:c>
      <x:c r="P11" s="176" t="str">
        <x:v>可选原型</x:v>
      </x:c>
      <x:c r="Q11" s="176" t="str">
        <x:v>optional profile 与失败降级边界清晰</x:v>
      </x:c>
      <x:c r="R11" s="176" t="str">
        <x:v>无真实小说检索质量基线；模型懒下载未纳入默认</x:v>
      </x:c>
      <x:c r="S11" s="176" t="str">
        <x:v>仅在 hard-negative eval 证明收益后扩大</x:v>
      </x:c>
      <x:c r="T11" s="178" t="str">
        <x:v>packages/novelcraft/rag-bge；CI bge-profile</x:v>
      </x:c>
    </x:row>
    <x:row r="12" ht="46.5" customHeight="1">
      <x:c r="A12" s="175" t="str">
        <x:v>trace</x:v>
      </x:c>
      <x:c r="B12" s="176" t="str">
        <x:v>编排 trace contract 与 Mock seam</x:v>
      </x:c>
      <x:c r="C12" s="176" t="n">
        <x:v>4</x:v>
      </x:c>
      <x:c r="D12" s="176" t="n">
        <x:v>399</x:v>
      </x:c>
      <x:c r="E12" s="176" t="n">
        <x:v>1</x:v>
      </x:c>
      <x:c r="F12" s="176" t="n">
        <x:v>20</x:v>
      </x:c>
      <x:c r="G12" s="176" t="str">
        <x:v>deep-import/map-atlas 内部审计</x:v>
      </x:c>
      <x:c r="H12" s="177" t="n">
        <x:v>20</x:v>
      </x:c>
      <x:c r="I12" s="177" t="n">
        <x:v>85</x:v>
      </x:c>
      <x:c r="J12" s="177" t="n">
        <x:v>80</x:v>
      </x:c>
      <x:c r="K12" s="177" t="n">
        <x:v>90</x:v>
      </x:c>
      <x:c r="L12" s="177" t="n">
        <x:v>85</x:v>
      </x:c>
      <x:c r="M12" s="177" t="n">
        <x:v>55</x:v>
      </x:c>
      <x:c r="N12" s="177" t="n">
        <x:f>ROUND(H12*'10_评分规则'!$B$5+I12*'10_评分规则'!$B$6+J12*'10_评分规则'!$B$7+K12*'10_评分规则'!$B$8+L12*'10_评分规则'!$B$9+M12*'10_评分规则'!$B$10,0)</x:f>
        <x:v>69</x:v>
      </x:c>
      <x:c r="O12" s="176" t="str">
        <x:f>IF(N12&gt;=85,"A",IF(N12&gt;=70,"B",IF(N12&gt;=55,"C",IF(N12&gt;=40,"D","E"))))</x:f>
        <x:v>C</x:v>
      </x:c>
      <x:c r="P12" s="176" t="str">
        <x:v>内部成熟</x:v>
      </x:c>
      <x:c r="Q12" s="176" t="str">
        <x:v>阶段、审批、checkpoint、降级可断言</x:v>
      </x:c>
      <x:c r="R12" s="176" t="str">
        <x:v>作者界面只看不到完整 trace</x:v>
      </x:c>
      <x:c r="S12" s="176" t="str">
        <x:v>保留内部；需要时只做可读投影</x:v>
      </x:c>
      <x:c r="T12" s="178" t="str">
        <x:v>packages/novelcraft/trace；imports/world workflow</x:v>
      </x:c>
    </x:row>
    <x:row r="13" ht="46.5" customHeight="1">
      <x:c r="A13" s="175" t="str">
        <x:v>imports</x:v>
      </x:c>
      <x:c r="B13" s="176" t="str">
        <x:v>文本摄入、六阶段深导、恢复</x:v>
      </x:c>
      <x:c r="C13" s="176" t="n">
        <x:v>18</x:v>
      </x:c>
      <x:c r="D13" s="176" t="n">
        <x:v>7558</x:v>
      </x:c>
      <x:c r="E13" s="176" t="n">
        <x:v>10</x:v>
      </x:c>
      <x:c r="F13" s="176" t="n">
        <x:v>170</x:v>
      </x:c>
      <x:c r="G13" s="176" t="str">
        <x:v>ingest/deep_import + workflow 4 工具</x:v>
      </x:c>
      <x:c r="H13" s="177" t="n">
        <x:v>75</x:v>
      </x:c>
      <x:c r="I13" s="177" t="n">
        <x:v>88</x:v>
      </x:c>
      <x:c r="J13" s="177" t="n">
        <x:v>55</x:v>
      </x:c>
      <x:c r="K13" s="177" t="n">
        <x:v>93</x:v>
      </x:c>
      <x:c r="L13" s="177" t="n">
        <x:v>92</x:v>
      </x:c>
      <x:c r="M13" s="177" t="n">
        <x:v>35</x:v>
      </x:c>
      <x:c r="N13" s="177" t="n">
        <x:f>ROUND(H13*'10_评分规则'!$B$5+I13*'10_评分规则'!$B$6+J13*'10_评分规则'!$B$7+K13*'10_评分规则'!$B$8+L13*'10_评分规则'!$B$9+M13*'10_评分规则'!$B$10,0)</x:f>
        <x:v>77</x:v>
      </x:c>
      <x:c r="O13" s="176" t="str">
        <x:f>IF(N13&gt;=85,"A",IF(N13&gt;=70,"B",IF(N13&gt;=55,"C",IF(N13&gt;=40,"D","E"))))</x:f>
        <x:v>B</x:v>
      </x:c>
      <x:c r="P13" s="176" t="str">
        <x:v>核心强/语义缺口</x:v>
      </x:c>
      <x:c r="Q13" s="176" t="str">
        <x:v>事务、checkpoint、审批、恢复与异常收口强</x:v>
      </x:c>
      <x:c r="R13" s="176" t="str">
        <x:v>structure_analysis 默认只收到一句空泛指令；phase1aContext 调用方未传</x:v>
      </x:c>
      <x:c r="S13" s="176" t="str">
        <x:v>先把真实 Scene/对象 manifest 注入现有步骤</x:v>
      </x:c>
      <x:c r="T13" s="178" t="str">
        <x:v>packages/novelcraft/imports/src/stages.ts；structure.ts；orchestrate.ts</x:v>
      </x:c>
    </x:row>
    <x:row r="14" ht="46.5" customHeight="1">
      <x:c r="A14" s="175" t="str">
        <x:v>outline</x:v>
      </x:c>
      <x:c r="B14" s="176" t="str">
        <x:v>总纲/P20/Scene 分析与 preview/apply</x:v>
      </x:c>
      <x:c r="C14" s="176" t="n">
        <x:v>5</x:v>
      </x:c>
      <x:c r="D14" s="176" t="n">
        <x:v>586</x:v>
      </x:c>
      <x:c r="E14" s="176" t="n">
        <x:v>1</x:v>
      </x:c>
      <x:c r="F14" s="176" t="n">
        <x:v>27</x:v>
      </x:c>
      <x:c r="G14" s="176" t="str">
        <x:v>outline 4 工具</x:v>
      </x:c>
      <x:c r="H14" s="177" t="n">
        <x:v>65</x:v>
      </x:c>
      <x:c r="I14" s="177" t="n">
        <x:v>72</x:v>
      </x:c>
      <x:c r="J14" s="177" t="n">
        <x:v>45</x:v>
      </x:c>
      <x:c r="K14" s="177" t="n">
        <x:v>82</x:v>
      </x:c>
      <x:c r="L14" s="177" t="n">
        <x:v>75</x:v>
      </x:c>
      <x:c r="M14" s="177" t="n">
        <x:v>30</x:v>
      </x:c>
      <x:c r="N14" s="177" t="n">
        <x:f>ROUND(H14*'10_评分规则'!$B$5+I14*'10_评分规则'!$B$6+J14*'10_评分规则'!$B$7+K14*'10_评分规则'!$B$8+L14*'10_评分规则'!$B$9+M14*'10_评分规则'!$B$10,0)</x:f>
        <x:v>65</x:v>
      </x:c>
      <x:c r="O14" s="176" t="str">
        <x:f>IF(N14&gt;=85,"A",IF(N14&gt;=70,"B",IF(N14&gt;=55,"C",IF(N14&gt;=40,"D","E"))))</x:f>
        <x:v>C</x:v>
      </x:c>
      <x:c r="P14" s="176" t="str">
        <x:v>部分可用</x:v>
      </x:c>
      <x:c r="Q14" s="176" t="str">
        <x:v>preview 不写 canonical；apply 走审批</x:v>
      </x:c>
      <x:c r="R14" s="176" t="str">
        <x:v>输入由 agent 自由拼装，无确定性 context/provenance；无专用 UI</x:v>
      </x:c>
      <x:c r="S14" s="176" t="str">
        <x:v>复用 context manifest 后再补 UI</x:v>
      </x:c>
      <x:c r="T14" s="178" t="str">
        <x:v>packages/novelcraft/outline/src/preview.ts；dsh/tools/outline.ts</x:v>
      </x:c>
    </x:row>
    <x:row r="15" ht="46.5" customHeight="1">
      <x:c r="A15" s="175" t="str">
        <x:v>writing</x:v>
      </x:c>
      <x:c r="B15" s="176" t="str">
        <x:v>续写、正文候选、审查、返修、版本</x:v>
      </x:c>
      <x:c r="C15" s="176" t="n">
        <x:v>11</x:v>
      </x:c>
      <x:c r="D15" s="176" t="n">
        <x:v>2050</x:v>
      </x:c>
      <x:c r="E15" s="176" t="n">
        <x:v>9</x:v>
      </x:c>
      <x:c r="F15" s="176" t="n">
        <x:v>87</x:v>
      </x:c>
      <x:c r="G15" s="176" t="str">
        <x:v>4 工具 + 章节 RPC 工作区</x:v>
      </x:c>
      <x:c r="H15" s="177" t="n">
        <x:v>85</x:v>
      </x:c>
      <x:c r="I15" s="177" t="n">
        <x:v>88</x:v>
      </x:c>
      <x:c r="J15" s="177" t="n">
        <x:v>65</x:v>
      </x:c>
      <x:c r="K15" s="177" t="n">
        <x:v>90</x:v>
      </x:c>
      <x:c r="L15" s="177" t="n">
        <x:v>88</x:v>
      </x:c>
      <x:c r="M15" s="177" t="n">
        <x:v>40</x:v>
      </x:c>
      <x:c r="N15" s="177" t="n">
        <x:f>ROUND(H15*'10_评分规则'!$B$5+I15*'10_评分规则'!$B$6+J15*'10_评分规则'!$B$7+K15*'10_评分规则'!$B$8+L15*'10_评分规则'!$B$9+M15*'10_评分规则'!$B$10,0)</x:f>
        <x:v>80</x:v>
      </x:c>
      <x:c r="O15" s="176" t="str">
        <x:f>IF(N15&gt;=85,"A",IF(N15&gt;=70,"B",IF(N15&gt;=55,"C",IF(N15&gt;=40,"D","E"))))</x:f>
        <x:v>B</x:v>
      </x:c>
      <x:c r="P15" s="176" t="str">
        <x:v>主链可用</x:v>
      </x:c>
      <x:c r="Q15" s="176" t="str">
        <x:v>提案→候选→审查→返修→采用/拒绝闭环</x:v>
      </x:c>
      <x:c r="R15" s="176" t="str">
        <x:v>上下文只有总纲/结构/伏笔/章尾；无 RAG、Memory、POV</x:v>
      </x:c>
      <x:c r="S15" s="176" t="str">
        <x:v>用现有 compiler 接入证据，不重建写作管线</x:v>
      </x:c>
      <x:c r="T15" s="178" t="str">
        <x:v>packages/novelcraft/writing/src</x:v>
      </x:c>
    </x:row>
    <x:row r="16" ht="46.5" customHeight="1">
      <x:c r="A16" s="175" t="str">
        <x:v>world</x:v>
      </x:c>
      <x:c r="B16" s="176" t="str">
        <x:v>对象、世界生成中心、世界书、地图册</x:v>
      </x:c>
      <x:c r="C16" s="176" t="n">
        <x:v>15</x:v>
      </x:c>
      <x:c r="D16" s="176" t="n">
        <x:v>5720</x:v>
      </x:c>
      <x:c r="E16" s="176" t="n">
        <x:v>9</x:v>
      </x:c>
      <x:c r="F16" s="176" t="n">
        <x:v>143</x:v>
      </x:c>
      <x:c r="G16" s="176" t="str">
        <x:v>world 7 + atlas 6 工具；atlas client</x:v>
      </x:c>
      <x:c r="H16" s="177" t="n">
        <x:v>78</x:v>
      </x:c>
      <x:c r="I16" s="177" t="n">
        <x:v>84</x:v>
      </x:c>
      <x:c r="J16" s="177" t="n">
        <x:v>65</x:v>
      </x:c>
      <x:c r="K16" s="177" t="n">
        <x:v>88</x:v>
      </x:c>
      <x:c r="L16" s="177" t="n">
        <x:v>88</x:v>
      </x:c>
      <x:c r="M16" s="177" t="n">
        <x:v>40</x:v>
      </x:c>
      <x:c r="N16" s="177" t="n">
        <x:f>ROUND(H16*'10_评分规则'!$B$5+I16*'10_评分规则'!$B$6+J16*'10_评分规则'!$B$7+K16*'10_评分规则'!$B$8+L16*'10_评分规则'!$B$9+M16*'10_评分规则'!$B$10,0)</x:f>
        <x:v>77</x:v>
      </x:c>
      <x:c r="O16" s="176" t="str">
        <x:f>IF(N16&gt;=85,"A",IF(N16&gt;=70,"B",IF(N16&gt;=55,"C",IF(N16&gt;=40,"D","E"))))</x:f>
        <x:v>B</x:v>
      </x:c>
      <x:c r="P16" s="176" t="str">
        <x:v>主链部分可用</x:v>
      </x:c>
      <x:c r="Q16" s="176" t="str">
        <x:v>Atlas context manifest/hash 最成熟；对象写审批成立</x:v>
      </x:c>
      <x:c r="R16" s="176" t="str">
        <x:v>世界生成中心输入为自由字符串；世界书同名修订/历史/发布不完整</x:v>
      </x:c>
      <x:c r="S16" s="176" t="str">
        <x:v>借 Atlas 证据合同，不合并其领域选择器</x:v>
      </x:c>
      <x:c r="T16" s="178" t="str">
        <x:v>packages/novelcraft/world/src</x:v>
      </x:c>
    </x:row>
    <x:row r="17" ht="46.5" customHeight="1">
      <x:c r="A17" s="175" t="str">
        <x:v>assistant</x:v>
      </x:c>
      <x:c r="B17" s="176" t="str">
        <x:v>确定性雷达、Inbox、健康扫描</x:v>
      </x:c>
      <x:c r="C17" s="176" t="n">
        <x:v>13</x:v>
      </x:c>
      <x:c r="D17" s="176" t="n">
        <x:v>1421</x:v>
      </x:c>
      <x:c r="E17" s="176" t="n">
        <x:v>3</x:v>
      </x:c>
      <x:c r="F17" s="176" t="n">
        <x:v>39</x:v>
      </x:c>
      <x:c r="G17" s="176" t="str">
        <x:v>inbox/radar/health + 宠物四态</x:v>
      </x:c>
      <x:c r="H17" s="177" t="n">
        <x:v>80</x:v>
      </x:c>
      <x:c r="I17" s="177" t="n">
        <x:v>82</x:v>
      </x:c>
      <x:c r="J17" s="177" t="n">
        <x:v>85</x:v>
      </x:c>
      <x:c r="K17" s="177" t="n">
        <x:v>90</x:v>
      </x:c>
      <x:c r="L17" s="177" t="n">
        <x:v>88</x:v>
      </x:c>
      <x:c r="M17" s="177" t="n">
        <x:v>50</x:v>
      </x:c>
      <x:c r="N17" s="177" t="n">
        <x:f>ROUND(H17*'10_评分规则'!$B$5+I17*'10_评分规则'!$B$6+J17*'10_评分规则'!$B$7+K17*'10_评分规则'!$B$8+L17*'10_评分规则'!$B$9+M17*'10_评分规则'!$B$10,0)</x:f>
        <x:v>81</x:v>
      </x:c>
      <x:c r="O17" s="176" t="str">
        <x:f>IF(N17&gt;=85,"A",IF(N17&gt;=70,"B",IF(N17&gt;=55,"C",IF(N17&gt;=40,"D","E"))))</x:f>
        <x:v>B</x:v>
      </x:c>
      <x:c r="P17" s="176" t="str">
        <x:v>可用</x:v>
      </x:c>
      <x:c r="Q17" s="176" t="str">
        <x:v>六雷达、logical key/observation hash、重开对账</x:v>
      </x:c>
      <x:c r="R17" s="176" t="str">
        <x:v>领域决定仍不总能直达资产终点；无真实作者试用</x:v>
      </x:c>
      <x:c r="S17" s="176" t="str">
        <x:v>补目标深链，不建第二 attention store</x:v>
      </x:c>
      <x:c r="T17" s="178" t="str">
        <x:v>packages/novelcraft/assistant/src</x:v>
      </x:c>
    </x:row>
    <x:row r="18" ht="46.5" customHeight="1">
      <x:c r="A18" s="175" t="str">
        <x:v>dsh</x:v>
      </x:c>
      <x:c r="B18" s="176" t="str">
        <x:v>唯一 DSH seam、39 工具与审批/模型/作业适配</x:v>
      </x:c>
      <x:c r="C18" s="176" t="n">
        <x:v>36</x:v>
      </x:c>
      <x:c r="D18" s="176" t="n">
        <x:v>6852</x:v>
      </x:c>
      <x:c r="E18" s="176" t="n">
        <x:v>27</x:v>
      </x:c>
      <x:c r="F18" s="176" t="n">
        <x:v>229</x:v>
      </x:c>
      <x:c r="G18" s="176" t="str">
        <x:v>39 tools / 6 groups</x:v>
      </x:c>
      <x:c r="H18" s="177" t="n">
        <x:v>92</x:v>
      </x:c>
      <x:c r="I18" s="177" t="n">
        <x:v>82</x:v>
      </x:c>
      <x:c r="J18" s="177" t="n">
        <x:v>90</x:v>
      </x:c>
      <x:c r="K18" s="177" t="n">
        <x:v>88</x:v>
      </x:c>
      <x:c r="L18" s="177" t="n">
        <x:v>96</x:v>
      </x:c>
      <x:c r="M18" s="177" t="n">
        <x:v>45</x:v>
      </x:c>
      <x:c r="N18" s="177" t="n">
        <x:f>ROUND(H18*'10_评分规则'!$B$5+I18*'10_评分规则'!$B$6+J18*'10_评分规则'!$B$7+K18*'10_评分规则'!$B$8+L18*'10_评分规则'!$B$9+M18*'10_评分规则'!$B$10,0)</x:f>
        <x:v>85</x:v>
      </x:c>
      <x:c r="O18" s="176" t="str">
        <x:f>IF(N18&gt;=85,"A",IF(N18&gt;=70,"B",IF(N18&gt;=55,"C",IF(N18&gt;=40,"D","E"))))</x:f>
        <x:v>A</x:v>
      </x:c>
      <x:c r="P18" s="176" t="str">
        <x:v>工程成熟/模型 P0</x:v>
      </x:c>
      <x:c r="Q18" s="176" t="str">
        <x:v>scope、approval、exact-route readiness、插件生命周期完整</x:v>
      </x:c>
      <x:c r="R18" s="176" t="str">
        <x:v>默认 deepseek-chat 已退役；reasoningEffort 未透传；provider list UI wire 漂移</x:v>
      </x:c>
      <x:c r="S18" s="176" t="str">
        <x:v>最小修三处模型 seam，保持核心包不动</x:v>
      </x:c>
      <x:c r="T18" s="178" t="str">
        <x:v>packages/novelcraft/dsh/src</x:v>
      </x:c>
    </x:row>
    <x:row r="19" ht="46.5" customHeight="1">
      <x:c r="A19" s="175" t="str">
        <x:v>client</x:v>
      </x:c>
      <x:c r="B19" s="176" t="str">
        <x:v>DSH Web 客户端与 loopback RPC</x:v>
      </x:c>
      <x:c r="C19" s="176" t="n">
        <x:v>16</x:v>
      </x:c>
      <x:c r="D19" s="176" t="n">
        <x:v>4253</x:v>
      </x:c>
      <x:c r="E19" s="176" t="n">
        <x:v>3</x:v>
      </x:c>
      <x:c r="F19" s="176" t="n">
        <x:v>54</x:v>
      </x:c>
      <x:c r="G19" s="176" t="str">
        <x:v>14 RPC endpoints；6 个主要视图</x:v>
      </x:c>
      <x:c r="H19" s="177" t="n">
        <x:v>78</x:v>
      </x:c>
      <x:c r="I19" s="177" t="n">
        <x:v>72</x:v>
      </x:c>
      <x:c r="J19" s="177" t="n">
        <x:v>80</x:v>
      </x:c>
      <x:c r="K19" s="177" t="n">
        <x:v>88</x:v>
      </x:c>
      <x:c r="L19" s="177" t="n">
        <x:v>88</x:v>
      </x:c>
      <x:c r="M19" s="177" t="n">
        <x:v>50</x:v>
      </x:c>
      <x:c r="N19" s="177" t="n">
        <x:f>ROUND(H19*'10_评分规则'!$B$5+I19*'10_评分规则'!$B$6+J19*'10_评分规则'!$B$7+K19*'10_评分规则'!$B$8+L19*'10_评分规则'!$B$9+M19*'10_评分规则'!$B$10,0)</x:f>
        <x:v>78</x:v>
      </x:c>
      <x:c r="O19" s="176" t="str">
        <x:f>IF(N19&gt;=85,"A",IF(N19&gt;=70,"B",IF(N19&gt;=55,"C",IF(N19&gt;=40,"D","E"))))</x:f>
        <x:v>B</x:v>
      </x:c>
      <x:c r="P19" s="176" t="str">
        <x:v>可用但覆盖不足</x:v>
      </x:c>
      <x:c r="Q19" s="176" t="str">
        <x:v>章节、Inbox、剧情图、写作台、地图册已可见</x:v>
      </x:c>
      <x:c r="R19" s="176" t="str">
        <x:v>无书库/工作流/outline/world 工作台；availableProviders 类型测试假数据掩盖真实对象</x:v>
      </x:c>
      <x:c r="S19" s="176" t="str">
        <x:v>先修 wire，再补最短的任务卡/书库入口</x:v>
      </x:c>
      <x:c r="T19" s="178" t="str">
        <x:v>packages/novelcraft/client/src/wire.ts；rpc.ts</x:v>
      </x:c>
    </x:row>
    <x:row r="20" ht="46.5" customHeight="1">
      <x:c r="A20" s="179" t="str">
        <x:v>preset</x:v>
      </x:c>
      <x:c r="B20" s="180" t="str">
        <x:v>9 册 Skill、4 套 agent preset、starter</x:v>
      </x:c>
      <x:c r="C20" s="180" t="n">
        <x:v>0</x:v>
      </x:c>
      <x:c r="D20" s="180" t="n">
        <x:v>0</x:v>
      </x:c>
      <x:c r="E20" s="180" t="n">
        <x:v>1</x:v>
      </x:c>
      <x:c r="F20" s="180" t="n">
        <x:v>5</x:v>
      </x:c>
      <x:c r="G20" s="180" t="str">
        <x:v>原生 Skill/preset 与内容手卡</x:v>
      </x:c>
      <x:c r="H20" s="181" t="n">
        <x:v>58</x:v>
      </x:c>
      <x:c r="I20" s="181" t="n">
        <x:v>55</x:v>
      </x:c>
      <x:c r="J20" s="181" t="n">
        <x:v>60</x:v>
      </x:c>
      <x:c r="K20" s="181" t="n">
        <x:v>70</x:v>
      </x:c>
      <x:c r="L20" s="181" t="n">
        <x:v>65</x:v>
      </x:c>
      <x:c r="M20" s="181" t="n">
        <x:v>30</x:v>
      </x:c>
      <x:c r="N20" s="181" t="n">
        <x:f>ROUND(H20*'10_评分规则'!$B$5+I20*'10_评分规则'!$B$6+J20*'10_评分规则'!$B$7+K20*'10_评分规则'!$B$8+L20*'10_评分规则'!$B$9+M20*'10_评分规则'!$B$10,0)</x:f>
        <x:v>58</x:v>
      </x:c>
      <x:c r="O20" s="180" t="str">
        <x:f>IF(N20&gt;=85,"A",IF(N20&gt;=70,"B",IF(N20&gt;=55,"C",IF(N20&gt;=40,"D","E"))))</x:f>
        <x:v>C</x:v>
      </x:c>
      <x:c r="P20" s="180" t="str">
        <x:v>部分可用</x:v>
      </x:c>
      <x:c r="Q20" s="180" t="str">
        <x:v>安装形态与工具名漂移测试存在</x:v>
      </x:c>
      <x:c r="R20" s="180" t="str">
        <x:v>starter 默认模型口径与内容手默认不一致</x:v>
      </x:c>
      <x:c r="S20" s="180" t="str">
        <x:v>统一文案到真实双模型路线</x:v>
      </x:c>
      <x:c r="T20" s="182" t="str">
        <x:v>packages/novelcraft/preset；starter/README.md</x:v>
      </x:c>
    </x:row>
  </x:sheetData>
  <x:mergeCells>
    <x:mergeCell ref="A1:T1"/>
    <x:mergeCell ref="A2:T2"/>
  </x:mergeCells>
  <x:conditionalFormatting sqref="N5:N20">
    <x:cfRule type="colorScale" priority="1">
      <x:colorScale>
        <x:cfvo type="min"/>
        <x:cfvo type="percentile" val="50"/>
        <x:cfvo type="max"/>
        <x:color rgb="FFFDECEC"/>
        <x:color rgb="FFFFF7E6"/>
        <x:color rgb="FFECFDF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4a00741c08145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889999389648438" hidden="0" customWidth="1"/>
    <x:col min="3" max="3" width="33.33000183105469" hidden="0" customWidth="1"/>
    <x:col min="4" max="4" width="23.329999923706055" hidden="0" customWidth="1"/>
    <x:col min="5" max="5" width="8.329999923706055" hidden="0" customWidth="1"/>
    <x:col min="6" max="6" width="8.329999923706055" hidden="0" customWidth="1"/>
    <x:col min="7" max="7" width="8.329999923706055" hidden="0" customWidth="1"/>
    <x:col min="8" max="8" width="8.329999923706055" hidden="0" customWidth="1"/>
    <x:col min="9" max="9" width="8.890000343322754" hidden="0" customWidth="1"/>
    <x:col min="10" max="10" width="12.220000267028809" hidden="0" customWidth="1"/>
    <x:col min="11" max="11" width="32.220001220703125" hidden="0" customWidth="1"/>
    <x:col min="12" max="12" width="32.220001220703125" hidden="0" customWidth="1"/>
    <x:col min="13" max="13" width="26.670000076293945" hidden="0" customWidth="1"/>
    <x:col min="14" max="14" width="28.889999389648438" hidden="0" customWidth="1"/>
  </x:cols>
  <x:sheetData>
    <x:row r="1" ht="28.5" customHeight="1">
      <x:c r="A1" s="129" t="str">
        <x:v>用户能力闭环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</x:row>
    <x:row r="2" ht="25.5" customHeight="1">
      <x:c r="A2" s="130" t="str">
        <x:v>粒度按“作者能完成什么、得到什么结果”；内部函数存在不等于用户可用。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  <x:c r="N2" s="130"/>
    </x:row>
    <x:row r="3">
      <x:c r="A3" s="131"/>
      <x:c r="B3" s="131"/>
      <x:c r="C3" s="131"/>
      <x:c r="D3" s="131"/>
      <x:c r="E3" s="131"/>
      <x:c r="F3" s="131"/>
      <x:c r="G3" s="131"/>
      <x:c r="H3" s="131"/>
      <x:c r="I3" s="131"/>
      <x:c r="J3" s="131"/>
      <x:c r="K3" s="131"/>
      <x:c r="L3" s="131"/>
      <x:c r="M3" s="131"/>
      <x:c r="N3" s="131"/>
    </x:row>
    <x:row r="4" ht="25.5" customHeight="1">
      <x:c r="A4" s="168" t="str">
        <x:v>领域</x:v>
      </x:c>
      <x:c r="B4" s="169" t="str">
        <x:v>用户任务</x:v>
      </x:c>
      <x:c r="C4" s="169" t="str">
        <x:v>当前可见结果</x:v>
      </x:c>
      <x:c r="D4" s="169" t="str">
        <x:v>公开入口</x:v>
      </x:c>
      <x:c r="E4" s="169" t="str">
        <x:v>实现完整</x:v>
      </x:c>
      <x:c r="F4" s="169" t="str">
        <x:v>用户可达</x:v>
      </x:c>
      <x:c r="G4" s="169" t="str">
        <x:v>可靠安全</x:v>
      </x:c>
      <x:c r="H4" s="169" t="str">
        <x:v>效果证据</x:v>
      </x:c>
      <x:c r="I4" s="169" t="str">
        <x:v>综合分</x:v>
      </x:c>
      <x:c r="J4" s="169" t="str">
        <x:v>状态</x:v>
      </x:c>
      <x:c r="K4" s="169" t="str">
        <x:v>主要缺口</x:v>
      </x:c>
      <x:c r="L4" s="169" t="str">
        <x:v>最小下一步</x:v>
      </x:c>
      <x:c r="M4" s="169" t="str">
        <x:v>明确不做</x:v>
      </x:c>
      <x:c r="N4" s="170" t="str">
        <x:v>证据</x:v>
      </x:c>
    </x:row>
    <x:row r="5" ht="51" customHeight="1">
      <x:c r="A5" s="171" t="str">
        <x:v>项目</x:v>
      </x:c>
      <x:c r="B5" s="172" t="str">
        <x:v>开始一本书</x:v>
      </x:c>
      <x:c r="C5" s="172" t="str">
        <x:v>Agent 可 list/create/open 本地 Git Vault</x:v>
      </x:c>
      <x:c r="D5" s="172" t="str">
        <x:v>book 3 工具</x:v>
      </x:c>
      <x:c r="E5" s="172" t="n">
        <x:v>75</x:v>
      </x:c>
      <x:c r="F5" s="172" t="n">
        <x:v>60</x:v>
      </x:c>
      <x:c r="G5" s="172" t="n">
        <x:v>85</x:v>
      </x:c>
      <x:c r="H5" s="172" t="n">
        <x:v>45</x:v>
      </x:c>
      <x:c r="I5" s="173" t="n">
        <x:f>ROUND(E5*'10_评分规则'!$B$13+F5*'10_评分规则'!$B$14+G5*'10_评分规则'!$B$15+H5*'10_评分规则'!$B$16,0)</x:f>
        <x:v>68</x:v>
      </x:c>
      <x:c r="J5" s="172" t="str">
        <x:v>核心完成</x:v>
      </x:c>
      <x:c r="K5" s="172" t="str">
        <x:v>无 client 书库页；无回收站(已裁定不做)</x:v>
      </x:c>
      <x:c r="L5" s="172" t="str">
        <x:v>补只读书库入口与当前书状态</x:v>
      </x:c>
      <x:c r="M5" s="172" t="str">
        <x:v>不引入账号/云数据库</x:v>
      </x:c>
      <x:c r="N5" s="174" t="str">
        <x:v>dsh/tools/book.ts；N42</x:v>
      </x:c>
    </x:row>
    <x:row r="6" ht="51" customHeight="1">
      <x:c r="A6" s="175" t="str">
        <x:v>导入</x:v>
      </x:c>
      <x:c r="B6" s="176" t="str">
        <x:v>TXT/MD 入库</x:v>
      </x:c>
      <x:c r="C6" s="176" t="str">
        <x:v>浏览器冻结 bytes→收据→确定性切章→原子提交</x:v>
      </x:c>
      <x:c r="D6" s="176" t="str">
        <x:v>intake/stage-text + ingest_file</x:v>
      </x:c>
      <x:c r="E6" s="176" t="n">
        <x:v>90</x:v>
      </x:c>
      <x:c r="F6" s="176" t="n">
        <x:v>80</x:v>
      </x:c>
      <x:c r="G6" s="176" t="n">
        <x:v>92</x:v>
      </x:c>
      <x:c r="H6" s="176" t="n">
        <x:v>60</x:v>
      </x:c>
      <x:c r="I6" s="177" t="n">
        <x:f>ROUND(E6*'10_评分规则'!$B$13+F6*'10_评分规则'!$B$14+G6*'10_评分规则'!$B$15+H6*'10_评分规则'!$B$16,0)</x:f>
        <x:v>82</x:v>
      </x:c>
      <x:c r="J6" s="176" t="str">
        <x:v>可用</x:v>
      </x:c>
      <x:c r="K6" s="176" t="str">
        <x:v>缺 EPUB/HTML 与历史页</x:v>
      </x:c>
      <x:c r="L6" s="176" t="str">
        <x:v>只在真实需求出现时加格式解析器</x:v>
      </x:c>
      <x:c r="M6" s="176" t="str">
        <x:v>不复制旧上传系统</x:v>
      </x:c>
      <x:c r="N6" s="178" t="str">
        <x:v>writing ingest/intake；client RPC</x:v>
      </x:c>
    </x:row>
    <x:row r="7" ht="51" customHeight="1">
      <x:c r="A7" s="175" t="str">
        <x:v>导入</x:v>
      </x:c>
      <x:c r="B7" s="176" t="str">
        <x:v>深度导入</x:v>
      </x:c>
      <x:c r="C7" s="176" t="str">
        <x:v>六阶段、审批、checkpoint、恢复动作</x:v>
      </x:c>
      <x:c r="D7" s="176" t="str">
        <x:v>deep_import + workflow 4 工具</x:v>
      </x:c>
      <x:c r="E7" s="176" t="n">
        <x:v>88</x:v>
      </x:c>
      <x:c r="F7" s="176" t="n">
        <x:v>70</x:v>
      </x:c>
      <x:c r="G7" s="176" t="n">
        <x:v>92</x:v>
      </x:c>
      <x:c r="H7" s="176" t="n">
        <x:v>35</x:v>
      </x:c>
      <x:c r="I7" s="177" t="n">
        <x:f>ROUND(E7*'10_评分规则'!$B$13+F7*'10_评分规则'!$B$14+G7*'10_评分规则'!$B$15+H7*'10_评分规则'!$B$16,0)</x:f>
        <x:v>74</x:v>
      </x:c>
      <x:c r="J7" s="176" t="str">
        <x:v>核心强/效果未证</x:v>
      </x:c>
      <x:c r="K7" s="176" t="str">
        <x:v>结构阶段上下文为空；执行仍同步长阻塞</x:v>
      </x:c>
      <x:c r="L7" s="176" t="str">
        <x:v>P0 注入真实结构上下文；P1 job 托管</x:v>
      </x:c>
      <x:c r="M7" s="176" t="str">
        <x:v>不建队列/数据库</x:v>
      </x:c>
      <x:c r="N7" s="178" t="str">
        <x:v>imports/orchestrate.ts:417；structure.ts:149</x:v>
      </x:c>
    </x:row>
    <x:row r="8" ht="51" customHeight="1">
      <x:c r="A8" s="175" t="str">
        <x:v>规划</x:v>
      </x:c>
      <x:c r="B8" s="176" t="str">
        <x:v>总纲与 P20</x:v>
      </x:c>
      <x:c r="C8" s="176" t="str">
        <x:v>Agent 可 preview，再审批 apply</x:v>
      </x:c>
      <x:c r="D8" s="176" t="str">
        <x:v>outline 4 工具</x:v>
      </x:c>
      <x:c r="E8" s="176" t="n">
        <x:v>75</x:v>
      </x:c>
      <x:c r="F8" s="176" t="n">
        <x:v>65</x:v>
      </x:c>
      <x:c r="G8" s="176" t="n">
        <x:v>85</x:v>
      </x:c>
      <x:c r="H8" s="176" t="n">
        <x:v>30</x:v>
      </x:c>
      <x:c r="I8" s="177" t="n">
        <x:f>ROUND(E8*'10_评分规则'!$B$13+F8*'10_评分规则'!$B$14+G8*'10_评分规则'!$B$15+H8*'10_评分规则'!$B$16,0)</x:f>
        <x:v>66</x:v>
      </x:c>
      <x:c r="J8" s="176" t="str">
        <x:v>部分可用</x:v>
      </x:c>
      <x:c r="K8" s="176" t="str">
        <x:v>无确定性资料选择与作者工作台</x:v>
      </x:c>
      <x:c r="L8" s="176" t="str">
        <x:v>接现有 context manifest 后补最小 UI</x:v>
      </x:c>
      <x:c r="M8" s="176" t="str">
        <x:v>不建统一 planning engine</x:v>
      </x:c>
      <x:c r="N8" s="178" t="str">
        <x:v>outline/preview.ts；dsh/tools/outline.ts</x:v>
      </x:c>
    </x:row>
    <x:row r="9" ht="51" customHeight="1">
      <x:c r="A9" s="175" t="str">
        <x:v>规划</x:v>
      </x:c>
      <x:c r="B9" s="176" t="str">
        <x:v>Scene 管理</x:v>
      </x:c>
      <x:c r="C9" s="176" t="str">
        <x:v>深导产生、剧情图查看；融合只读原语</x:v>
      </x:c>
      <x:c r="D9" s="176" t="str">
        <x:v>story/map + outline item</x:v>
      </x:c>
      <x:c r="E9" s="176" t="n">
        <x:v>55</x:v>
      </x:c>
      <x:c r="F9" s="176" t="n">
        <x:v>35</x:v>
      </x:c>
      <x:c r="G9" s="176" t="n">
        <x:v>75</x:v>
      </x:c>
      <x:c r="H9" s="176" t="n">
        <x:v>25</x:v>
      </x:c>
      <x:c r="I9" s="177" t="n">
        <x:f>ROUND(E9*'10_评分规则'!$B$13+F9*'10_评分规则'!$B$14+G9*'10_评分规则'!$B$15+H9*'10_评分规则'!$B$16,0)</x:f>
        <x:v>49</x:v>
      </x:c>
      <x:c r="J9" s="176" t="str">
        <x:v>原型</x:v>
      </x:c>
      <x:c r="K9" s="176" t="str">
        <x:v>无 CRUD/排序/拆分/替换公开动作</x:v>
      </x:c>
      <x:c r="L9" s="176" t="str">
        <x:v>先开放最常用的编辑/重排</x:v>
      </x:c>
      <x:c r="M9" s="176" t="str">
        <x:v>不做统一 timeline</x:v>
      </x:c>
      <x:c r="N9" s="178" t="str">
        <x:v>store storyMap；outline generation</x:v>
      </x:c>
    </x:row>
    <x:row r="10" ht="51" customHeight="1">
      <x:c r="A10" s="175" t="str">
        <x:v>写作</x:v>
      </x:c>
      <x:c r="B10" s="176" t="str">
        <x:v>下一章提案与正文候选</x:v>
      </x:c>
      <x:c r="C10" s="176" t="str">
        <x:v>2–3 方向→正文候选→待审</x:v>
      </x:c>
      <x:c r="D10" s="176" t="str">
        <x:v>propose/generate 2 工具</x:v>
      </x:c>
      <x:c r="E10" s="176" t="n">
        <x:v>85</x:v>
      </x:c>
      <x:c r="F10" s="176" t="n">
        <x:v>80</x:v>
      </x:c>
      <x:c r="G10" s="176" t="n">
        <x:v>90</x:v>
      </x:c>
      <x:c r="H10" s="176" t="n">
        <x:v>45</x:v>
      </x:c>
      <x:c r="I10" s="177" t="n">
        <x:f>ROUND(E10*'10_评分规则'!$B$13+F10*'10_评分规则'!$B$14+G10*'10_评分规则'!$B$15+H10*'10_评分规则'!$B$16,0)</x:f>
        <x:v>77</x:v>
      </x:c>
      <x:c r="J10" s="176" t="str">
        <x:v>可用</x:v>
      </x:c>
      <x:c r="K10" s="176" t="str">
        <x:v>Context 无 RAG/Memory/POV；模型质量未实测</x:v>
      </x:c>
      <x:c r="L10" s="176" t="str">
        <x:v>P0 接证据；跑 pairwise fiction eval</x:v>
      </x:c>
      <x:c r="M10" s="176" t="str">
        <x:v>不让编排脑替代内容手</x:v>
      </x:c>
      <x:c r="N10" s="178" t="str">
        <x:v>writing/propose.ts；generate.ts</x:v>
      </x:c>
    </x:row>
    <x:row r="11" ht="51" customHeight="1">
      <x:c r="A11" s="175" t="str">
        <x:v>写作</x:v>
      </x:c>
      <x:c r="B11" s="176" t="str">
        <x:v>章节编辑与版本</x:v>
      </x:c>
      <x:c r="C11" s="176" t="str">
        <x:v>编辑收据、保存、Git history/diff/restore</x:v>
      </x:c>
      <x:c r="D11" s="176" t="str">
        <x:v>chapter RPC + chapter_version</x:v>
      </x:c>
      <x:c r="E11" s="176" t="n">
        <x:v>90</x:v>
      </x:c>
      <x:c r="F11" s="176" t="n">
        <x:v>85</x:v>
      </x:c>
      <x:c r="G11" s="176" t="n">
        <x:v>95</x:v>
      </x:c>
      <x:c r="H11" s="176" t="n">
        <x:v>65</x:v>
      </x:c>
      <x:c r="I11" s="177" t="n">
        <x:f>ROUND(E11*'10_评分规则'!$B$13+F11*'10_评分规则'!$B$14+G11*'10_评分规则'!$B$15+H11*'10_评分规则'!$B$16,0)</x:f>
        <x:v>85</x:v>
      </x:c>
      <x:c r="J11" s="176" t="str">
        <x:v>稳健</x:v>
      </x:c>
      <x:c r="K11" s="176" t="str">
        <x:v>无 autosave/checkpoint/discard/导出</x:v>
      </x:c>
      <x:c r="L11" s="176" t="str">
        <x:v>保持显式保存；只补导出</x:v>
      </x:c>
      <x:c r="M11" s="176" t="str">
        <x:v>不复制旧前端状态机</x:v>
      </x:c>
      <x:c r="N11" s="178" t="str">
        <x:v>client ChapterWorkspace；store history</x:v>
      </x:c>
    </x:row>
    <x:row r="12" ht="51" customHeight="1">
      <x:c r="A12" s="175" t="str">
        <x:v>写作</x:v>
      </x:c>
      <x:c r="B12" s="176" t="str">
        <x:v>审查、返修、采用/拒绝</x:v>
      </x:c>
      <x:c r="C12" s="176" t="str">
        <x:v>current/candidate 审查、finding 返修、复审、终点释放 pending</x:v>
      </x:c>
      <x:c r="D12" s="176" t="str">
        <x:v>chapter_review + store_adopt</x:v>
      </x:c>
      <x:c r="E12" s="176" t="n">
        <x:v>90</x:v>
      </x:c>
      <x:c r="F12" s="176" t="n">
        <x:v>85</x:v>
      </x:c>
      <x:c r="G12" s="176" t="n">
        <x:v>95</x:v>
      </x:c>
      <x:c r="H12" s="176" t="n">
        <x:v>55</x:v>
      </x:c>
      <x:c r="I12" s="177" t="n">
        <x:f>ROUND(E12*'10_评分规则'!$B$13+F12*'10_评分规则'!$B$14+G12*'10_评分规则'!$B$15+H12*'10_评分规则'!$B$16,0)</x:f>
        <x:v>83</x:v>
      </x:c>
      <x:c r="J12" s="176" t="str">
        <x:v>稳健</x:v>
      </x:c>
      <x:c r="K12" s="176" t="str">
        <x:v>整卷/整书审查与确认上下文缺失</x:v>
      </x:c>
      <x:c r="L12" s="176" t="str">
        <x:v>先接 context snapshot，再谈全书审查</x:v>
      </x:c>
      <x:c r="M12" s="176" t="str">
        <x:v>不做自动正史</x:v>
      </x:c>
      <x:c r="N12" s="178" t="str">
        <x:v>writing/review.ts；revise.ts</x:v>
      </x:c>
    </x:row>
    <x:row r="13" ht="51" customHeight="1">
      <x:c r="A13" s="175" t="str">
        <x:v>交付</x:v>
      </x:c>
      <x:c r="B13" s="176" t="str">
        <x:v>发布与导出</x:v>
      </x:c>
      <x:c r="C13" s="176" t="str">
        <x:v>仅 draft/candidate→draft adopt</x:v>
      </x:c>
      <x:c r="D13" s="176" t="str">
        <x:v>无正式 publish/export</x:v>
      </x:c>
      <x:c r="E13" s="176" t="n">
        <x:v>20</x:v>
      </x:c>
      <x:c r="F13" s="176" t="n">
        <x:v>10</x:v>
      </x:c>
      <x:c r="G13" s="176" t="n">
        <x:v>60</x:v>
      </x:c>
      <x:c r="H13" s="176" t="n">
        <x:v>10</x:v>
      </x:c>
      <x:c r="I13" s="177" t="n">
        <x:f>ROUND(E13*'10_评分规则'!$B$13+F13*'10_评分规则'!$B$14+G13*'10_评分规则'!$B$15+H13*'10_评分规则'!$B$16,0)</x:f>
        <x:v>26</x:v>
      </x:c>
      <x:c r="J13" s="176" t="str">
        <x:v>缺失</x:v>
      </x:c>
      <x:c r="K13" s="176" t="str">
        <x:v>无 published/canonical 与 txt/docx 交付</x:v>
      </x:c>
      <x:c r="L13" s="176" t="str">
        <x:v>P2 最小 txt/md export + publish receipt</x:v>
      </x:c>
      <x:c r="M13" s="176" t="str">
        <x:v>不做带批注 docx(D20)</x:v>
      </x:c>
      <x:c r="N13" s="178" t="str">
        <x:v>功能台账 §6.0；明确不做清单</x:v>
      </x:c>
    </x:row>
    <x:row r="14" ht="51" customHeight="1">
      <x:c r="A14" s="175" t="str">
        <x:v>世界</x:v>
      </x:c>
      <x:c r="B14" s="176" t="str">
        <x:v>对象创建与更新</x:v>
      </x:c>
      <x:c r="C14" s="176" t="str">
        <x:v>Agent 审批后 create/update 类型对象</x:v>
      </x:c>
      <x:c r="D14" s="176" t="str">
        <x:v>world 2 写工具</x:v>
      </x:c>
      <x:c r="E14" s="176" t="n">
        <x:v>80</x:v>
      </x:c>
      <x:c r="F14" s="176" t="n">
        <x:v>65</x:v>
      </x:c>
      <x:c r="G14" s="176" t="n">
        <x:v>90</x:v>
      </x:c>
      <x:c r="H14" s="176" t="n">
        <x:v>40</x:v>
      </x:c>
      <x:c r="I14" s="177" t="n">
        <x:f>ROUND(E14*'10_评分规则'!$B$13+F14*'10_评分规则'!$B$14+G14*'10_评分规则'!$B$15+H14*'10_评分规则'!$B$16,0)</x:f>
        <x:v>71</x:v>
      </x:c>
      <x:c r="J14" s="176" t="str">
        <x:v>部分可用</x:v>
      </x:c>
      <x:c r="K14" s="176" t="str">
        <x:v>无对象工作台、图片(D19 不做)</x:v>
      </x:c>
      <x:c r="L14" s="176" t="str">
        <x:v>补对象列表/编辑的作者入口</x:v>
      </x:c>
      <x:c r="M14" s="176" t="str">
        <x:v>不加对象图片</x:v>
      </x:c>
      <x:c r="N14" s="178" t="str">
        <x:v>dsh/tools/world.ts；world-gate tests</x:v>
      </x:c>
    </x:row>
    <x:row r="15" ht="51" customHeight="1">
      <x:c r="A15" s="175" t="str">
        <x:v>世界</x:v>
      </x:c>
      <x:c r="B15" s="176" t="str">
        <x:v>别名与关系</x:v>
      </x:c>
      <x:c r="C15" s="176" t="str">
        <x:v>深导整批抽取/审批写入；索引可见</x:v>
      </x:c>
      <x:c r="D15" s="176" t="str">
        <x:v>deep_import + store</x:v>
      </x:c>
      <x:c r="E15" s="176" t="n">
        <x:v>70</x:v>
      </x:c>
      <x:c r="F15" s="176" t="n">
        <x:v>55</x:v>
      </x:c>
      <x:c r="G15" s="176" t="n">
        <x:v>85</x:v>
      </x:c>
      <x:c r="H15" s="176" t="n">
        <x:v>35</x:v>
      </x:c>
      <x:c r="I15" s="177" t="n">
        <x:f>ROUND(E15*'10_评分规则'!$B$13+F15*'10_评分规则'!$B$14+G15*'10_评分规则'!$B$15+H15*'10_评分规则'!$B$16,0)</x:f>
        <x:v>63</x:v>
      </x:c>
      <x:c r="J15" s="176" t="str">
        <x:v>部分可用</x:v>
      </x:c>
      <x:c r="K15" s="176" t="str">
        <x:v>无逐项证据、修改/忽略/合并生命周期</x:v>
      </x:c>
      <x:c r="L15" s="176" t="str">
        <x:v>复用 Inbox 决定卡做逐项终点</x:v>
      </x:c>
      <x:c r="M15" s="176" t="str">
        <x:v>不建第二关系库</x:v>
      </x:c>
      <x:c r="N15" s="178" t="str">
        <x:v>imports/alias-relation.ts；store relation</x:v>
      </x:c>
    </x:row>
    <x:row r="16" ht="51" customHeight="1">
      <x:c r="A16" s="175" t="str">
        <x:v>世界</x:v>
      </x:c>
      <x:c r="B16" s="176" t="str">
        <x:v>共创与世界书</x:v>
      </x:c>
      <x:c r="C16" s="176" t="str">
        <x:v>四个只读生成模式 + draft 建议</x:v>
      </x:c>
      <x:c r="D16" s="176" t="str">
        <x:v>world 5 生成工具</x:v>
      </x:c>
      <x:c r="E16" s="176" t="n">
        <x:v>65</x:v>
      </x:c>
      <x:c r="F16" s="176" t="n">
        <x:v>55</x:v>
      </x:c>
      <x:c r="G16" s="176" t="n">
        <x:v>78</x:v>
      </x:c>
      <x:c r="H16" s="176" t="n">
        <x:v>30</x:v>
      </x:c>
      <x:c r="I16" s="177" t="n">
        <x:f>ROUND(E16*'10_评分规则'!$B$13+F16*'10_评分规则'!$B$14+G16*'10_评分规则'!$B$15+H16*'10_评分规则'!$B$16,0)</x:f>
        <x:v>59</x:v>
      </x:c>
      <x:c r="J16" s="176" t="str">
        <x:v>部分可用</x:v>
      </x:c>
      <x:c r="K16" s="176" t="str">
        <x:v>自由输入；同名修订/历史/发布/影响预演不足</x:v>
      </x:c>
      <x:c r="L16" s="176" t="str">
        <x:v>先加 source manifest 与版本化 apply</x:v>
      </x:c>
      <x:c r="M16" s="176" t="str">
        <x:v>不复制旧生成中心</x:v>
      </x:c>
      <x:c r="N16" s="178" t="str">
        <x:v>world/generation.ts；dsh/tools/world.ts</x:v>
      </x:c>
    </x:row>
    <x:row r="17" ht="51" customHeight="1">
      <x:c r="A17" s="175" t="str">
        <x:v>证据</x:v>
      </x:c>
      <x:c r="B17" s="176" t="str">
        <x:v>RAG 搜索</x:v>
      </x:c>
      <x:c r="C17" s="176" t="str">
        <x:v>BM25+rerank+可选 BGE；来源路径/截断可见</x:v>
      </x:c>
      <x:c r="D17" s="176" t="str">
        <x:v>rag_search/rag_embed</x:v>
      </x:c>
      <x:c r="E17" s="176" t="n">
        <x:v>75</x:v>
      </x:c>
      <x:c r="F17" s="176" t="n">
        <x:v>60</x:v>
      </x:c>
      <x:c r="G17" s="176" t="n">
        <x:v>60</x:v>
      </x:c>
      <x:c r="H17" s="176" t="n">
        <x:v>30</x:v>
      </x:c>
      <x:c r="I17" s="177" t="n">
        <x:f>ROUND(E17*'10_评分规则'!$B$13+F17*'10_评分规则'!$B$14+G17*'10_评分规则'!$B$15+H17*'10_评分规则'!$B$16,0)</x:f>
        <x:v>59</x:v>
      </x:c>
      <x:c r="J17" s="176" t="str">
        <x:v>搜索可用/证据未成</x:v>
      </x:c>
      <x:c r="K17" s="176" t="str">
        <x:v>向量身份、fresh no-op、质量基线不足</x:v>
      </x:c>
      <x:c r="L17" s="176" t="str">
        <x:v>P1 validator + hard-negative eval</x:v>
      </x:c>
      <x:c r="M17" s="176" t="str">
        <x:v>不建 GraphRAG/数据库</x:v>
      </x:c>
      <x:c r="N17" s="178" t="str">
        <x:v>rag/search.ts；rag.ts</x:v>
      </x:c>
    </x:row>
    <x:row r="18" ht="51" customHeight="1">
      <x:c r="A18" s="175" t="str">
        <x:v>证据</x:v>
      </x:c>
      <x:c r="B18" s="176" t="str">
        <x:v>上下文确认与消费</x:v>
      </x:c>
      <x:c r="C18" s="176" t="str">
        <x:v>Tier 编译只供续写提案/生成</x:v>
      </x:c>
      <x:c r="D18" s="176" t="str">
        <x:v>无作者确认面</x:v>
      </x:c>
      <x:c r="E18" s="176" t="n">
        <x:v>50</x:v>
      </x:c>
      <x:c r="F18" s="176" t="n">
        <x:v>30</x:v>
      </x:c>
      <x:c r="G18" s="176" t="n">
        <x:v>60</x:v>
      </x:c>
      <x:c r="H18" s="176" t="n">
        <x:v>20</x:v>
      </x:c>
      <x:c r="I18" s="177" t="n">
        <x:f>ROUND(E18*'10_评分规则'!$B$13+F18*'10_评分规则'!$B$14+G18*'10_评分规则'!$B$15+H18*'10_评分规则'!$B$16,0)</x:f>
        <x:v>42</x:v>
      </x:c>
      <x:c r="J18" s="176" t="str">
        <x:v>原型</x:v>
      </x:c>
      <x:c r="K18" s="176" t="str">
        <x:v>2/29 调用点；P4 缺失；无 manifest/snapshot</x:v>
      </x:c>
      <x:c r="L18" s="176" t="str">
        <x:v>P0 强化现有 compileContext</x:v>
      </x:c>
      <x:c r="M18" s="176" t="str">
        <x:v>不建第二 context service</x:v>
      </x:c>
      <x:c r="N18" s="178" t="str">
        <x:v>context/context.ts；writing/propose.ts</x:v>
      </x:c>
    </x:row>
    <x:row r="19" ht="51" customHeight="1">
      <x:c r="A19" s="175" t="str">
        <x:v>连续性</x:v>
      </x:c>
      <x:c r="B19" s="176" t="str">
        <x:v>Memory/POV/知识边界</x:v>
      </x:c>
      <x:c r="C19" s="176" t="str">
        <x:v>章节档案能读 memory 投影；无 writer/POV 消费</x:v>
      </x:c>
      <x:c r="D19" s="176" t="str">
        <x:v>dossier 只读</x:v>
      </x:c>
      <x:c r="E19" s="176" t="n">
        <x:v>35</x:v>
      </x:c>
      <x:c r="F19" s="176" t="n">
        <x:v>25</x:v>
      </x:c>
      <x:c r="G19" s="176" t="n">
        <x:v>70</x:v>
      </x:c>
      <x:c r="H19" s="176" t="n">
        <x:v>20</x:v>
      </x:c>
      <x:c r="I19" s="177" t="n">
        <x:f>ROUND(E19*'10_评分规则'!$B$13+F19*'10_评分规则'!$B$14+G19*'10_评分规则'!$B$15+H19*'10_评分规则'!$B$16,0)</x:f>
        <x:v>38</x:v>
      </x:c>
      <x:c r="J19" s="176" t="str">
        <x:v>原型</x:v>
      </x:c>
      <x:c r="K19" s="176" t="str">
        <x:v>无 adopt→event；无人物知识边界</x:v>
      </x:c>
      <x:c r="L19" s="176" t="str">
        <x:v>做一条可证竖切</x:v>
      </x:c>
      <x:c r="M19" s="176" t="str">
        <x:v>不复制五表</x:v>
      </x:c>
      <x:c r="N19" s="178" t="str">
        <x:v>memory/src；STATUS M12-c N46</x:v>
      </x:c>
    </x:row>
    <x:row r="20" ht="51" customHeight="1">
      <x:c r="A20" s="175" t="str">
        <x:v>连续性</x:v>
      </x:c>
      <x:c r="B20" s="176" t="str">
        <x:v>伏笔与冲突</x:v>
      </x:c>
      <x:c r="C20" s="176" t="str">
        <x:v>剧情图可见；雷达提示超期；单章审查</x:v>
      </x:c>
      <x:c r="D20" s="176" t="str">
        <x:v>story/map + radar + review</x:v>
      </x:c>
      <x:c r="E20" s="176" t="n">
        <x:v>60</x:v>
      </x:c>
      <x:c r="F20" s="176" t="n">
        <x:v>55</x:v>
      </x:c>
      <x:c r="G20" s="176" t="n">
        <x:v>80</x:v>
      </x:c>
      <x:c r="H20" s="176" t="n">
        <x:v>35</x:v>
      </x:c>
      <x:c r="I20" s="177" t="n">
        <x:f>ROUND(E20*'10_评分规则'!$B$13+F20*'10_评分规则'!$B$14+G20*'10_评分规则'!$B$15+H20*'10_评分规则'!$B$16,0)</x:f>
        <x:v>59</x:v>
      </x:c>
      <x:c r="J20" s="176" t="str">
        <x:v>部分可用</x:v>
      </x:c>
      <x:c r="K20" s="176" t="str">
        <x:v>无跨 World/Memory/Outline 冲突闭环</x:v>
      </x:c>
      <x:c r="L20" s="176" t="str">
        <x:v>先统一证据输入，再扩审查</x:v>
      </x:c>
      <x:c r="M20" s="176" t="str">
        <x:v>不建统一 timeline</x:v>
      </x:c>
      <x:c r="N20" s="178" t="str">
        <x:v>assistant radar-risk；store storyMap</x:v>
      </x:c>
    </x:row>
    <x:row r="21" ht="51" customHeight="1">
      <x:c r="A21" s="175" t="str">
        <x:v>地图</x:v>
      </x:c>
      <x:c r="B21" s="176" t="str">
        <x:v>地图册</x:v>
      </x:c>
      <x:c r="C21" s="176" t="str">
        <x:v>规划、上传、审批、归档/恢复、标注</x:v>
      </x:c>
      <x:c r="D21" s="176" t="str">
        <x:v>6 工具 + atlas client</x:v>
      </x:c>
      <x:c r="E21" s="176" t="n">
        <x:v>88</x:v>
      </x:c>
      <x:c r="F21" s="176" t="n">
        <x:v>80</x:v>
      </x:c>
      <x:c r="G21" s="176" t="n">
        <x:v>90</x:v>
      </x:c>
      <x:c r="H21" s="176" t="n">
        <x:v>55</x:v>
      </x:c>
      <x:c r="I21" s="177" t="n">
        <x:f>ROUND(E21*'10_评分规则'!$B$13+F21*'10_评分规则'!$B$14+G21*'10_评分规则'!$B$15+H21*'10_评分规则'!$B$16,0)</x:f>
        <x:v>80</x:v>
      </x:c>
      <x:c r="J21" s="176" t="str">
        <x:v>可用</x:v>
      </x:c>
      <x:c r="K21" s="176" t="str">
        <x:v>无站内生图(有意)；窄屏/历史弱</x:v>
      </x:c>
      <x:c r="L21" s="176" t="str">
        <x:v>保留 upload-only；补来源/历史可见性</x:v>
      </x:c>
      <x:c r="M21" s="176" t="str">
        <x:v>不做站内生图</x:v>
      </x:c>
      <x:c r="N21" s="178" t="str">
        <x:v>world/map-atlas；client MapAtlasAction</x:v>
      </x:c>
    </x:row>
    <x:row r="22" ht="51" customHeight="1">
      <x:c r="A22" s="175" t="str">
        <x:v>助手</x:v>
      </x:c>
      <x:c r="B22" s="176" t="str">
        <x:v>Inbox 与雷达</x:v>
      </x:c>
      <x:c r="C22" s="176" t="str">
        <x:v>六雷达→宠物/Inbox→四动词</x:v>
      </x:c>
      <x:c r="D22" s="176" t="str">
        <x:v>radar/inbox/health + client</x:v>
      </x:c>
      <x:c r="E22" s="176" t="n">
        <x:v>90</x:v>
      </x:c>
      <x:c r="F22" s="176" t="n">
        <x:v>85</x:v>
      </x:c>
      <x:c r="G22" s="176" t="n">
        <x:v>92</x:v>
      </x:c>
      <x:c r="H22" s="176" t="n">
        <x:v>60</x:v>
      </x:c>
      <x:c r="I22" s="177" t="n">
        <x:f>ROUND(E22*'10_评分规则'!$B$13+F22*'10_评分规则'!$B$14+G22*'10_评分规则'!$B$15+H22*'10_评分规则'!$B$16,0)</x:f>
        <x:v>83</x:v>
      </x:c>
      <x:c r="J22" s="176" t="str">
        <x:v>可用</x:v>
      </x:c>
      <x:c r="K22" s="176" t="str">
        <x:v>部分决定未直达资产终点</x:v>
      </x:c>
      <x:c r="L22" s="176" t="str">
        <x:v>给 signal 增稳定 target/open action</x:v>
      </x:c>
      <x:c r="M22" s="176" t="str">
        <x:v>不建第二 attention store</x:v>
      </x:c>
      <x:c r="N22" s="178" t="str">
        <x:v>assistant/src；client InboxPanel</x:v>
      </x:c>
    </x:row>
    <x:row r="23" ht="51" customHeight="1">
      <x:c r="A23" s="175" t="str">
        <x:v>恢复</x:v>
      </x:c>
      <x:c r="B23" s="176" t="str">
        <x:v>长任务恢复</x:v>
      </x:c>
      <x:c r="C23" s="176" t="str">
        <x:v>inspect/resume/start_new/abandon 已可用</x:v>
      </x:c>
      <x:c r="D23" s="176" t="str">
        <x:v>workflow 4 工具</x:v>
      </x:c>
      <x:c r="E23" s="176" t="n">
        <x:v>75</x:v>
      </x:c>
      <x:c r="F23" s="176" t="n">
        <x:v>60</x:v>
      </x:c>
      <x:c r="G23" s="176" t="n">
        <x:v>88</x:v>
      </x:c>
      <x:c r="H23" s="176" t="n">
        <x:v>35</x:v>
      </x:c>
      <x:c r="I23" s="177" t="n">
        <x:f>ROUND(E23*'10_评分规则'!$B$13+F23*'10_评分规则'!$B$14+G23*'10_评分规则'!$B$15+H23*'10_评分规则'!$B$16,0)</x:f>
        <x:v>67</x:v>
      </x:c>
      <x:c r="J23" s="176" t="str">
        <x:v>核心完成</x:v>
      </x:c>
      <x:c r="K23" s="176" t="str">
        <x:v>仍同步执行；无 client workflow 卡</x:v>
      </x:c>
      <x:c r="L23" s="176" t="str">
        <x:v>P1 job 托管 + 只读状态卡</x:v>
      </x:c>
      <x:c r="M23" s="176" t="str">
        <x:v>不另建队列</x:v>
      </x:c>
      <x:c r="N23" s="178" t="str">
        <x:v>dsh/workflow-face.ts；tools/workflow.ts</x:v>
      </x:c>
    </x:row>
    <x:row r="24" ht="51" customHeight="1">
      <x:c r="A24" s="175" t="str">
        <x:v>模型</x:v>
      </x:c>
      <x:c r="B24" s="176" t="str">
        <x:v>模型与预设</x:v>
      </x:c>
      <x:c r="C24" s="176" t="str">
        <x:v>4 种子卡、书级 llm.yml、exact-route readiness</x:v>
      </x:c>
      <x:c r="D24" s="176" t="str">
        <x:v>preset client + llm_step</x:v>
      </x:c>
      <x:c r="E24" s="176" t="n">
        <x:v>70</x:v>
      </x:c>
      <x:c r="F24" s="176" t="n">
        <x:v>65</x:v>
      </x:c>
      <x:c r="G24" s="176" t="n">
        <x:v>55</x:v>
      </x:c>
      <x:c r="H24" s="176" t="n">
        <x:v>20</x:v>
      </x:c>
      <x:c r="I24" s="177" t="n">
        <x:f>ROUND(E24*'10_评分规则'!$B$13+F24*'10_评分规则'!$B$14+G24*'10_评分规则'!$B$15+H24*'10_评分规则'!$B$16,0)</x:f>
        <x:v>55</x:v>
      </x:c>
      <x:c r="J24" s="176" t="str">
        <x:v>P0 风险</x:v>
      </x:c>
      <x:c r="K24" s="176" t="str">
        <x:v>默认 slug 退役；effort 不透传；采样参数跨模型不兼容</x:v>
      </x:c>
      <x:c r="L24" s="176" t="str">
        <x:v>P0 模型能力 digest 与逐调用 effective receipt</x:v>
      </x:c>
      <x:c r="M24" s="176" t="str">
        <x:v>不自建 provider/Key 页</x:v>
      </x:c>
      <x:c r="N24" s="178" t="str">
        <x:v>dsh/config.ts；llm/provider.ts；llm-step/presets.ts</x:v>
      </x:c>
    </x:row>
    <x:row r="25" ht="51" customHeight="1">
      <x:c r="A25" s="175" t="str">
        <x:v>迁移</x:v>
      </x:c>
      <x:c r="B25" s="176" t="str">
        <x:v>整书备份与验证恢复</x:v>
      </x:c>
      <x:c r="C25" s="176" t="str">
        <x:v>可手工复制 Git Vault；无闭包回执</x:v>
      </x:c>
      <x:c r="D25" s="176" t="str">
        <x:v>无正式 capability</x:v>
      </x:c>
      <x:c r="E25" s="176" t="n">
        <x:v>30</x:v>
      </x:c>
      <x:c r="F25" s="176" t="n">
        <x:v>15</x:v>
      </x:c>
      <x:c r="G25" s="176" t="n">
        <x:v>65</x:v>
      </x:c>
      <x:c r="H25" s="176" t="n">
        <x:v>15</x:v>
      </x:c>
      <x:c r="I25" s="177" t="n">
        <x:f>ROUND(E25*'10_评分规则'!$B$13+F25*'10_评分规则'!$B$14+G25*'10_评分规则'!$B$15+H25*'10_评分规则'!$B$16,0)</x:f>
        <x:v>32</x:v>
      </x:c>
      <x:c r="J25" s="176" t="str">
        <x:v>缺失</x:v>
      </x:c>
      <x:c r="K25" s="176" t="str">
        <x:v>未跟踪状态/图片/会话重绑不受验证</x:v>
      </x:c>
      <x:c r="L25" s="176" t="str">
        <x:v>P2 先做 inspection，再做验证式复制</x:v>
      </x:c>
      <x:c r="M25" s="176" t="str">
        <x:v>不宣称 git clone 即完整备份</x:v>
      </x:c>
      <x:c r="N25" s="178" t="str">
        <x:v>功能台账 §6.13.5</x:v>
      </x:c>
    </x:row>
    <x:row r="26" ht="51" customHeight="1">
      <x:c r="A26" s="175" t="str">
        <x:v>体验</x:v>
      </x:c>
      <x:c r="B26" s="176" t="str">
        <x:v>作者 UI 覆盖</x:v>
      </x:c>
      <x:c r="C26" s="176" t="str">
        <x:v>章节/Inbox/剧情图/写作台/地图册可见</x:v>
      </x:c>
      <x:c r="D26" s="176" t="str">
        <x:v>14 RPC endpoints</x:v>
      </x:c>
      <x:c r="E26" s="176" t="n">
        <x:v>65</x:v>
      </x:c>
      <x:c r="F26" s="176" t="n">
        <x:v>60</x:v>
      </x:c>
      <x:c r="G26" s="176" t="n">
        <x:v>85</x:v>
      </x:c>
      <x:c r="H26" s="176" t="n">
        <x:v>50</x:v>
      </x:c>
      <x:c r="I26" s="177" t="n">
        <x:f>ROUND(E26*'10_评分规则'!$B$13+F26*'10_评分规则'!$B$14+G26*'10_评分规则'!$B$15+H26*'10_评分规则'!$B$16,0)</x:f>
        <x:v>66</x:v>
      </x:c>
      <x:c r="J26" s="176" t="str">
        <x:v>部分可用</x:v>
      </x:c>
      <x:c r="K26" s="176" t="str">
        <x:v>书库/工作流/outline/world 无专页</x:v>
      </x:c>
      <x:c r="L26" s="176" t="str">
        <x:v>按用户任务补 4 个最短入口</x:v>
      </x:c>
      <x:c r="M26" s="176" t="str">
        <x:v>不重建全套旧 Vue</x:v>
      </x:c>
      <x:c r="N26" s="178" t="str">
        <x:v>client/wire.ts；client/*Action.tsx</x:v>
      </x:c>
    </x:row>
    <x:row r="27" ht="51" customHeight="1">
      <x:c r="A27" s="175" t="str">
        <x:v>治理</x:v>
      </x:c>
      <x:c r="B27" s="176" t="str">
        <x:v>Trace 与安全审计</x:v>
      </x:c>
      <x:c r="C27" s="176" t="str">
        <x:v>阶段/审批/指纹/journal/Git 事务可追溯</x:v>
      </x:c>
      <x:c r="D27" s="176" t="str">
        <x:v>trace + CI gates</x:v>
      </x:c>
      <x:c r="E27" s="176" t="n">
        <x:v>90</x:v>
      </x:c>
      <x:c r="F27" s="176" t="n">
        <x:v>50</x:v>
      </x:c>
      <x:c r="G27" s="176" t="n">
        <x:v>90</x:v>
      </x:c>
      <x:c r="H27" s="176" t="n">
        <x:v>60</x:v>
      </x:c>
      <x:c r="I27" s="177" t="n">
        <x:f>ROUND(E27*'10_评分规则'!$B$13+F27*'10_评分规则'!$B$14+G27*'10_评分规则'!$B$15+H27*'10_评分规则'!$B$16,0)</x:f>
        <x:v>74</x:v>
      </x:c>
      <x:c r="J27" s="176" t="str">
        <x:v>内部成熟</x:v>
      </x:c>
      <x:c r="K27" s="176" t="str">
        <x:v>作者只看到部分回执</x:v>
      </x:c>
      <x:c r="L27" s="176" t="str">
        <x:v>按需投影关键 receipt</x:v>
      </x:c>
      <x:c r="M27" s="176" t="str">
        <x:v>不暴露 raw JSON/secret</x:v>
      </x:c>
      <x:c r="N27" s="178" t="str">
        <x:v>trace；llm-step journal；CI</x:v>
      </x:c>
    </x:row>
    <x:row r="28" ht="51" customHeight="1">
      <x:c r="A28" s="179" t="str">
        <x:v>RP</x:v>
      </x:c>
      <x:c r="B28" s="180" t="str">
        <x:v>私人旅程</x:v>
      </x:c>
      <x:c r="C28" s="180" t="str">
        <x:v>未实现；D23 明确延期</x:v>
      </x:c>
      <x:c r="D28" s="180" t="str">
        <x:v>无</x:v>
      </x:c>
      <x:c r="E28" s="180" t="n">
        <x:v>0</x:v>
      </x:c>
      <x:c r="F28" s="180" t="n">
        <x:v>0</x:v>
      </x:c>
      <x:c r="G28" s="180" t="n">
        <x:v>0</x:v>
      </x:c>
      <x:c r="H28" s="180" t="n">
        <x:v>0</x:v>
      </x:c>
      <x:c r="I28" s="181" t="n">
        <x:f>ROUND(E28*'10_评分规则'!$B$13+F28*'10_评分规则'!$B$14+G28*'10_评分规则'!$B$15+H28*'10_评分规则'!$B$16,0)</x:f>
        <x:v>0</x:v>
      </x:c>
      <x:c r="J28" s="180" t="str">
        <x:v>有意延期</x:v>
      </x:c>
      <x:c r="K28" s="180" t="str">
        <x:v>当前不可用</x:v>
      </x:c>
      <x:c r="L28" s="180" t="str">
        <x:v>不阻塞 M4</x:v>
      </x:c>
      <x:c r="M28" s="180" t="str">
        <x:v>按 D23 保持延期</x:v>
      </x:c>
      <x:c r="N28" s="182" t="str">
        <x:v>STATUS-M4 明确不做</x:v>
      </x:c>
    </x:row>
  </x:sheetData>
  <x:mergeCells>
    <x:mergeCell ref="A1:N1"/>
    <x:mergeCell ref="A2:N2"/>
  </x:mergeCells>
  <x:conditionalFormatting sqref="I5:I28">
    <x:cfRule type="colorScale" priority="1">
      <x:colorScale>
        <x:cfvo type="min"/>
        <x:cfvo type="percentile" val="50"/>
        <x:cfvo type="max"/>
        <x:color rgb="FFFDECEC"/>
        <x:color rgb="FFFFF7E6"/>
        <x:color rgb="FFECFDF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1f882a6bd214c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.559999465942383" hidden="0" customWidth="1"/>
    <x:col min="3" max="3" width="40" hidden="0" customWidth="1"/>
    <x:col min="4" max="4" width="32.220001220703125" hidden="0" customWidth="1"/>
    <x:col min="5" max="5" width="40" hidden="0" customWidth="1"/>
    <x:col min="6" max="6" width="8.890000343322754" hidden="0" customWidth="1"/>
    <x:col min="7" max="7" width="17.780000686645508" hidden="0" customWidth="1"/>
    <x:col min="8" max="8" width="33.33000183105469" hidden="0" customWidth="1"/>
    <x:col min="9" max="9" width="24.440000534057617" hidden="0" customWidth="1"/>
    <x:col min="10" max="10" width="24.440000534057617" hidden="0" customWidth="1"/>
  </x:cols>
  <x:sheetData>
    <x:row r="1" ht="28.5" customHeight="1">
      <x:c r="A1" s="129" t="str">
        <x:v>上下文模块与复用诊断</x:v>
      </x:c>
      <x:c r="B1" s="129"/>
      <x:c r="C1" s="129"/>
      <x:c r="D1" s="129"/>
      <x:c r="E1" s="129"/>
      <x:c r="F1" s="129"/>
      <x:c r="G1" s="129"/>
      <x:c r="H1" s="129"/>
      <x:c r="I1" s="129"/>
      <x:c r="J1" s="129"/>
    </x:row>
    <x:row r="2" ht="25.5" customHeight="1">
      <x:c r="A2" s="130" t="str">
        <x:v>结论：已接入写作，但仍是预算拼装器；Atlas 有更强证据合同；深导 structure_analysis 当前最严重。</x:v>
      </x:c>
      <x:c r="B2" s="130"/>
      <x:c r="C2" s="130"/>
      <x:c r="D2" s="130"/>
      <x:c r="E2" s="130"/>
      <x:c r="F2" s="130"/>
      <x:c r="G2" s="130"/>
      <x:c r="H2" s="130"/>
      <x:c r="I2" s="130"/>
      <x:c r="J2" s="130"/>
    </x:row>
    <x:row r="3">
      <x:c r="A3" s="131"/>
      <x:c r="B3" s="131"/>
      <x:c r="C3" s="131"/>
      <x:c r="D3" s="131"/>
      <x:c r="E3" s="131"/>
      <x:c r="F3" s="131"/>
      <x:c r="G3" s="131"/>
      <x:c r="H3" s="131"/>
      <x:c r="I3" s="131"/>
      <x:c r="J3" s="131"/>
    </x:row>
    <x:row r="4">
      <x:c r="A4" s="155" t="str">
        <x:v>指标</x:v>
      </x:c>
      <x:c r="B4" s="155" t="str">
        <x:v>当前值</x:v>
      </x:c>
      <x:c r="C4" s="131"/>
      <x:c r="D4" s="183" t="str">
        <x:v>是否“重复造轮子”的判断：
1) Atlas 的领域选择器不应被删除或强行并入通用 compiler；它承担地点筛选与来源白名单。
2) 应共享的是 hard budget、source manifest、hash、snapshot、open target 五个原语。
3) review/rerank 等 step-local 流程可合理绕过；outline/world/structure_analysis 不应继续靠自由字符串。</x:v>
      </x:c>
      <x:c r="E4" s="183"/>
      <x:c r="F4" s="183"/>
      <x:c r="G4" s="183"/>
      <x:c r="H4" s="183"/>
      <x:c r="I4" s="183"/>
      <x:c r="J4" s="183"/>
    </x:row>
    <x:row r="5">
      <x:c r="A5" s="131" t="str">
        <x:v>通用 context 消费</x:v>
      </x:c>
      <x:c r="B5" s="131" t="str">
        <x:v>2 / 29 LLM 调用点</x:v>
      </x:c>
      <x:c r="C5" s="131"/>
      <x:c r="D5" s="183"/>
      <x:c r="E5" s="183"/>
      <x:c r="F5" s="183"/>
      <x:c r="G5" s="183"/>
      <x:c r="H5" s="183"/>
      <x:c r="I5" s="183"/>
      <x:c r="J5" s="183"/>
    </x:row>
    <x:row r="6">
      <x:c r="A6" s="131" t="str">
        <x:v>P4 RAG</x:v>
      </x:c>
      <x:c r="B6" s="131" t="str">
        <x:v>未进入 propose/generate</x:v>
      </x:c>
      <x:c r="C6" s="131"/>
      <x:c r="D6" s="183"/>
      <x:c r="E6" s="183"/>
      <x:c r="F6" s="183"/>
      <x:c r="G6" s="183"/>
      <x:c r="H6" s="183"/>
      <x:c r="I6" s="183"/>
      <x:c r="J6" s="183"/>
    </x:row>
    <x:row r="7">
      <x:c r="A7" s="131" t="str">
        <x:v>最佳复用参考</x:v>
      </x:c>
      <x:c r="B7" s="131" t="str">
        <x:v>Atlas manifest/hash/context_hash</x:v>
      </x:c>
      <x:c r="C7" s="131"/>
      <x:c r="D7" s="183"/>
      <x:c r="E7" s="183"/>
      <x:c r="F7" s="183"/>
      <x:c r="G7" s="183"/>
      <x:c r="H7" s="183"/>
      <x:c r="I7" s="183"/>
      <x:c r="J7" s="183"/>
    </x:row>
    <x:row r="8">
      <x:c r="A8" s="131"/>
      <x:c r="B8" s="131"/>
      <x:c r="C8" s="131"/>
      <x:c r="D8" s="131"/>
      <x:c r="E8" s="131"/>
      <x:c r="F8" s="131"/>
      <x:c r="G8" s="131"/>
      <x:c r="H8" s="131"/>
      <x:c r="I8" s="131"/>
      <x:c r="J8" s="131"/>
    </x:row>
    <x:row r="9">
      <x:c r="A9" s="131"/>
      <x:c r="B9" s="131"/>
      <x:c r="C9" s="131"/>
      <x:c r="D9" s="131"/>
      <x:c r="E9" s="131"/>
      <x:c r="F9" s="131"/>
      <x:c r="G9" s="131"/>
      <x:c r="H9" s="131"/>
      <x:c r="I9" s="131"/>
      <x:c r="J9" s="131"/>
    </x:row>
    <x:row r="10" ht="25.5" customHeight="1">
      <x:c r="A10" s="168" t="str">
        <x:v>Tier</x:v>
      </x:c>
      <x:c r="B10" s="169" t="str">
        <x:v>目标资料</x:v>
      </x:c>
      <x:c r="C10" s="169" t="str">
        <x:v>当前生产者</x:v>
      </x:c>
      <x:c r="D10" s="169" t="str">
        <x:v>当前消费者</x:v>
      </x:c>
      <x:c r="E10" s="169" t="str">
        <x:v>来源能力</x:v>
      </x:c>
      <x:c r="F10" s="169" t="str">
        <x:v>预算</x:v>
      </x:c>
      <x:c r="G10" s="169" t="str">
        <x:v>结论</x:v>
      </x:c>
      <x:c r="H10" s="170" t="str">
        <x:v>下一步</x:v>
      </x:c>
      <x:c r="I10" s="131"/>
      <x:c r="J10" s="131"/>
    </x:row>
    <x:row r="11" ht="40.5" customHeight="1">
      <x:c r="A11" s="171" t="str">
        <x:v>P0</x:v>
      </x:c>
      <x:c r="B11" s="172" t="str">
        <x:v>任务/硬指令</x:v>
      </x:c>
      <x:c r="C11" s="172" t="str">
        <x:v>compileProposalContextBudgeted 内部生成</x:v>
      </x:c>
      <x:c r="D11" s="172" t="str">
        <x:v>续写提案、正文候选</x:v>
      </x:c>
      <x:c r="E11" s="172" t="str">
        <x:v>无 source hash</x:v>
      </x:c>
      <x:c r="F11" s="172" t="str">
        <x:v>有</x:v>
      </x:c>
      <x:c r="G11" s="172" t="str">
        <x:v>已接</x:v>
      </x:c>
      <x:c r="H11" s="174" t="str">
        <x:v>保留</x:v>
      </x:c>
      <x:c r="I11" s="131"/>
      <x:c r="J11" s="131"/>
    </x:row>
    <x:row r="12" ht="40.5" customHeight="1">
      <x:c r="A12" s="175" t="str">
        <x:v>P1</x:v>
      </x:c>
      <x:c r="B12" s="176" t="str">
        <x:v>焦点章尾部</x:v>
      </x:c>
      <x:c r="C12" s="176" t="str">
        <x:v>chapterBody(...).slice(-1500)</x:v>
      </x:c>
      <x:c r="D12" s="176" t="str">
        <x:v>续写提案、正文候选</x:v>
      </x:c>
      <x:c r="E12" s="176" t="str">
        <x:v>仅文本，无 revision/hash</x:v>
      </x:c>
      <x:c r="F12" s="176" t="str">
        <x:v>有</x:v>
      </x:c>
      <x:c r="G12" s="176" t="str">
        <x:v>已接但不可回放来源</x:v>
      </x:c>
      <x:c r="H12" s="178" t="str">
        <x:v>加入 chapter ref/content_hash</x:v>
      </x:c>
      <x:c r="I12" s="131"/>
      <x:c r="J12" s="131"/>
    </x:row>
    <x:row r="13" ht="40.5" customHeight="1">
      <x:c r="A13" s="175" t="str">
        <x:v>P2</x:v>
      </x:c>
      <x:c r="B13" s="176" t="str">
        <x:v>总纲/剧情线/篇章纲</x:v>
      </x:c>
      <x:c r="C13" s="176" t="str">
        <x:v>readOutline + storyMap</x:v>
      </x:c>
      <x:c r="D13" s="176" t="str">
        <x:v>续写提案、正文候选</x:v>
      </x:c>
      <x:c r="E13" s="176" t="str">
        <x:v>名称列表；无精确版本</x:v>
      </x:c>
      <x:c r="F13" s="176" t="str">
        <x:v>有</x:v>
      </x:c>
      <x:c r="G13" s="176" t="str">
        <x:v>部分</x:v>
      </x:c>
      <x:c r="H13" s="178" t="str">
        <x:v>记录路径+HEAD+内容 hash</x:v>
      </x:c>
      <x:c r="I13" s="131"/>
      <x:c r="J13" s="131"/>
    </x:row>
    <x:row r="14" ht="40.5" customHeight="1">
      <x:c r="A14" s="175" t="str">
        <x:v>P3</x:v>
      </x:c>
      <x:c r="B14" s="176" t="str">
        <x:v>伏笔</x:v>
      </x:c>
      <x:c r="C14" s="176" t="str">
        <x:v>storyMap.foreshadowing</x:v>
      </x:c>
      <x:c r="D14" s="176" t="str">
        <x:v>续写提案、正文候选</x:v>
      </x:c>
      <x:c r="E14" s="176" t="str">
        <x:v>摘要，无来源定位</x:v>
      </x:c>
      <x:c r="F14" s="176" t="str">
        <x:v>有</x:v>
      </x:c>
      <x:c r="G14" s="176" t="str">
        <x:v>部分</x:v>
      </x:c>
      <x:c r="H14" s="178" t="str">
        <x:v>加入 open target 与状态资格</x:v>
      </x:c>
      <x:c r="I14" s="131"/>
      <x:c r="J14" s="131"/>
    </x:row>
    <x:row r="15" ht="40.5" customHeight="1">
      <x:c r="A15" s="179" t="str">
        <x:v>P4</x:v>
      </x:c>
      <x:c r="B15" s="180" t="str">
        <x:v>RAG 补强</x:v>
      </x:c>
      <x:c r="C15" s="180" t="str">
        <x:v>当前未调用 ragSearch</x:v>
      </x:c>
      <x:c r="D15" s="180" t="str">
        <x:v>无</x:v>
      </x:c>
      <x:c r="E15" s="180" t="str">
        <x:v>无</x:v>
      </x:c>
      <x:c r="F15" s="180" t="str">
        <x:v>否</x:v>
      </x:c>
      <x:c r="G15" s="180" t="str">
        <x:v>缺失</x:v>
      </x:c>
      <x:c r="H15" s="182" t="str">
        <x:v>从现有 rag typed result 构造证据包</x:v>
      </x:c>
      <x:c r="I15" s="131"/>
      <x:c r="J15" s="131"/>
    </x:row>
    <x:row r="16">
      <x:c r="A16" s="131"/>
      <x:c r="B16" s="131"/>
      <x:c r="C16" s="131"/>
      <x:c r="D16" s="131"/>
      <x:c r="E16" s="131"/>
      <x:c r="F16" s="131"/>
      <x:c r="G16" s="131"/>
      <x:c r="H16" s="131"/>
      <x:c r="I16" s="131"/>
      <x:c r="J16" s="131"/>
    </x:row>
    <x:row r="17">
      <x:c r="A17" s="131"/>
      <x:c r="B17" s="131"/>
      <x:c r="C17" s="131"/>
      <x:c r="D17" s="131"/>
      <x:c r="E17" s="131"/>
      <x:c r="F17" s="131"/>
      <x:c r="G17" s="131"/>
      <x:c r="H17" s="131"/>
      <x:c r="I17" s="131"/>
      <x:c r="J17" s="131"/>
    </x:row>
    <x:row r="18">
      <x:c r="A18" s="131"/>
      <x:c r="B18" s="131"/>
      <x:c r="C18" s="131"/>
      <x:c r="D18" s="131"/>
      <x:c r="E18" s="131"/>
      <x:c r="F18" s="131"/>
      <x:c r="G18" s="131"/>
      <x:c r="H18" s="131"/>
      <x:c r="I18" s="131"/>
      <x:c r="J18" s="131"/>
    </x:row>
    <x:row r="19" ht="25.5" customHeight="1">
      <x:c r="A19" s="168" t="str">
        <x:v>优先级</x:v>
      </x:c>
      <x:c r="B19" s="169" t="str">
        <x:v>发现</x:v>
      </x:c>
      <x:c r="C19" s="169" t="str">
        <x:v>证据</x:v>
      </x:c>
      <x:c r="D19" s="169" t="str">
        <x:v>影响</x:v>
      </x:c>
      <x:c r="E19" s="170" t="str">
        <x:v>最小修复</x:v>
      </x:c>
      <x:c r="F19" s="131"/>
      <x:c r="G19" s="131"/>
      <x:c r="H19" s="131"/>
      <x:c r="I19" s="131"/>
      <x:c r="J19" s="131"/>
    </x:row>
    <x:row r="20" ht="48" customHeight="1">
      <x:c r="A20" s="171" t="str">
        <x:v>P0</x:v>
      </x:c>
      <x:c r="B20" s="172" t="str">
        <x:v>深导结构分析是空上下文</x:v>
      </x:c>
      <x:c r="C20" s="172" t="str">
        <x:v>orchestrate.ts:417 未传 context；structure.ts:149 退化为一句通用指令</x:v>
      </x:c>
      <x:c r="D20" s="172" t="str">
        <x:v>结构结果无法基于真实 Scene/对象</x:v>
      </x:c>
      <x:c r="E20" s="174" t="str">
        <x:v>在 analyzeStructure 调用前确定性汇总 adopted/draft Scene 与对象 manifest</x:v>
      </x:c>
      <x:c r="F20" s="131"/>
      <x:c r="G20" s="131"/>
      <x:c r="H20" s="131"/>
      <x:c r="I20" s="131"/>
      <x:c r="J20" s="131"/>
    </x:row>
    <x:row r="21" ht="48" customHeight="1">
      <x:c r="A21" s="175" t="str">
        <x:v>P0</x:v>
      </x:c>
      <x:c r="B21" s="176" t="str">
        <x:v>P4 RAG 未进入写作</x:v>
      </x:c>
      <x:c r="C21" s="176" t="str">
        <x:v>propose.ts sections 只建 P0/P1/P2/P3</x:v>
      </x:c>
      <x:c r="D21" s="176" t="str">
        <x:v>状态文档写了 P4，但运行时没有</x:v>
      </x:c>
      <x:c r="E21" s="178" t="str">
        <x:v>复用 ragSearch typed hits；预算后才形成 manifest</x:v>
      </x:c>
      <x:c r="F21" s="131"/>
      <x:c r="G21" s="131"/>
      <x:c r="H21" s="131"/>
      <x:c r="I21" s="131"/>
      <x:c r="J21" s="131"/>
    </x:row>
    <x:row r="22" ht="48" customHeight="1">
      <x:c r="A22" s="175" t="str">
        <x:v>P1</x:v>
      </x:c>
      <x:c r="B22" s="176" t="str">
        <x:v>通用编译器覆盖率 2/29</x:v>
      </x:c>
      <x:c r="C22" s="176" t="str">
        <x:v>29 个 runStep 调用点中仅 propose/generate 经过 compileContext</x:v>
      </x:c>
      <x:c r="D22" s="176" t="str">
        <x:v>outline/world/imports 各自拼串或接受自由 input</x:v>
      </x:c>
      <x:c r="E22" s="178" t="str">
        <x:v>只扩真正需要项目证据的流；review/rerank 保持 step-local</x:v>
      </x:c>
      <x:c r="F22" s="131"/>
      <x:c r="G22" s="131"/>
      <x:c r="H22" s="131"/>
      <x:c r="I22" s="131"/>
      <x:c r="J22" s="131"/>
    </x:row>
    <x:row r="23" ht="48" customHeight="1">
      <x:c r="A23" s="175" t="str">
        <x:v>P1</x:v>
      </x:c>
      <x:c r="B23" s="176" t="str">
        <x:v>预算不是硬上限</x:v>
      </x:c>
      <x:c r="C23" s="176" t="str">
        <x:v>context.test.ts 断言 total_tokens &lt;= budget + 64；截断标记可能越界</x:v>
      </x:c>
      <x:c r="D23" s="176" t="str">
        <x:v>预算/成本回执不精确</x:v>
      </x:c>
      <x:c r="E23" s="178" t="str">
        <x:v>截断后再校验；必要时二次缩短到 &lt;= budget</x:v>
      </x:c>
      <x:c r="F23" s="131"/>
      <x:c r="G23" s="131"/>
      <x:c r="H23" s="131"/>
      <x:c r="I23" s="131"/>
      <x:c r="J23" s="131"/>
    </x:row>
    <x:row r="24" ht="48" customHeight="1">
      <x:c r="A24" s="175" t="str">
        <x:v>P1</x:v>
      </x:c>
      <x:c r="B24" s="176" t="str">
        <x:v>selected_asset_ids 不是资产 ID</x:v>
      </x:c>
      <x:c r="C24" s="176" t="str">
        <x:v>context.ts:113-115 用 section name 自映射</x:v>
      </x:c>
      <x:c r="D24" s="176" t="str">
        <x:v>无法重开来源、确认或失效</x:v>
      </x:c>
      <x:c r="E24" s="178" t="str">
        <x:v>改为调用方传 ref/hash；不在 compiler 猜 ID</x:v>
      </x:c>
      <x:c r="F24" s="131"/>
      <x:c r="G24" s="131"/>
      <x:c r="H24" s="131"/>
      <x:c r="I24" s="131"/>
      <x:c r="J24" s="131"/>
    </x:row>
    <x:row r="25" ht="48" customHeight="1">
      <x:c r="A25" s="175" t="str">
        <x:v>P1</x:v>
      </x:c>
      <x:c r="B25" s="176" t="str">
        <x:v>无 confirmation/snapshot/fingerprint</x:v>
      </x:c>
      <x:c r="C25" s="176" t="str">
        <x:v>CompiledContext 只有 sections/events/warnings</x:v>
      </x:c>
      <x:c r="D25" s="176" t="str">
        <x:v>模型回答不可复查，旧上下文不能安全恢复</x:v>
      </x:c>
      <x:c r="E25" s="178" t="str">
        <x:v>落 machine-state snapshot：HEAD、refs、hash、预算事件</x:v>
      </x:c>
      <x:c r="F25" s="131"/>
      <x:c r="G25" s="131"/>
      <x:c r="H25" s="131"/>
      <x:c r="I25" s="131"/>
      <x:c r="J25" s="131"/>
    </x:row>
    <x:row r="26" ht="48" customHeight="1">
      <x:c r="A26" s="175" t="str">
        <x:v>P1</x:v>
      </x:c>
      <x:c r="B26" s="176" t="str">
        <x:v>Phase1a context 参数未接线</x:v>
      </x:c>
      <x:c r="C26" s="176" t="str">
        <x:v>deep-import-workflow/orchestrate 调 sliceChapterBatch 只传 budget</x:v>
      </x:c>
      <x:c r="D26" s="176" t="str">
        <x:v>Scene 切分看不到世界/结构约束</x:v>
      </x:c>
      <x:c r="E26" s="178" t="str">
        <x:v>在现有 options 传最小 author-safe 摘要</x:v>
      </x:c>
      <x:c r="F26" s="131"/>
      <x:c r="G26" s="131"/>
      <x:c r="H26" s="131"/>
      <x:c r="I26" s="131"/>
      <x:c r="J26" s="131"/>
    </x:row>
    <x:row r="27" ht="48" customHeight="1">
      <x:c r="A27" s="175" t="str">
        <x:v>P2</x:v>
      </x:c>
      <x:c r="B27" s="176" t="str">
        <x:v>token 估算是启发式</x:v>
      </x:c>
      <x:c r="C27" s="176" t="str">
        <x:v>CJK/1.6、latin/4，不读取模型 tokenizer</x:v>
      </x:c>
      <x:c r="D27" s="176" t="str">
        <x:v>跨 Claude/Gemini/Qwen 误差不可控</x:v>
      </x:c>
      <x:c r="E27" s="178" t="str">
        <x:v>以启发式做预检，调用前用宿主模型计数能力（若可用）</x:v>
      </x:c>
      <x:c r="F27" s="131"/>
      <x:c r="G27" s="131"/>
      <x:c r="H27" s="131"/>
      <x:c r="I27" s="131"/>
      <x:c r="J27" s="131"/>
    </x:row>
    <x:row r="28" ht="48" customHeight="1">
      <x:c r="A28" s="175" t="str">
        <x:v>保留</x:v>
      </x:c>
      <x:c r="B28" s="176" t="str">
        <x:v>Atlas 编译器不是应删除的重复轮子</x:v>
      </x:c>
      <x:c r="C28" s="176" t="str">
        <x:v>它有 canonical 筛选、RAG/wiki manifest、source hash、context hash</x:v>
      </x:c>
      <x:c r="D28" s="176" t="str">
        <x:v>领域选择比通用 compiler 成熟</x:v>
      </x:c>
      <x:c r="E28" s="178" t="str">
        <x:v>只抽取 manifest/budget 原语；保留地点选择器</x:v>
      </x:c>
      <x:c r="F28" s="131"/>
      <x:c r="G28" s="131"/>
      <x:c r="H28" s="131"/>
      <x:c r="I28" s="131"/>
      <x:c r="J28" s="131"/>
    </x:row>
    <x:row r="29" ht="48" customHeight="1">
      <x:c r="A29" s="179" t="str">
        <x:v>P1</x:v>
      </x:c>
      <x:c r="B29" s="180" t="str">
        <x:v>作者无上下文确认面</x:v>
      </x:c>
      <x:c r="C29" s="180" t="str">
        <x:v>client 14 端点无 context preview/confirm</x:v>
      </x:c>
      <x:c r="D29" s="180" t="str">
        <x:v>作者不知道 AI 用了哪些资料</x:v>
      </x:c>
      <x:c r="E29" s="182" t="str">
        <x:v>先在生成回执展示来源/预算，再决定是否加编辑面</x:v>
      </x:c>
      <x:c r="F29" s="131"/>
      <x:c r="G29" s="131"/>
      <x:c r="H29" s="131"/>
      <x:c r="I29" s="131"/>
      <x:c r="J29" s="131"/>
    </x:row>
  </x:sheetData>
  <x:mergeCells>
    <x:mergeCell ref="A1:J1"/>
    <x:mergeCell ref="A2:J2"/>
    <x:mergeCell ref="D4:J4"/>
    <x:mergeCell ref="D5:J5"/>
    <x:mergeCell ref="D6:J6"/>
    <x:mergeCell ref="D7:J7"/>
  </x:mergeCells>
  <x:conditionalFormatting sqref="A20:A29">
    <x:cfRule type="containsText" dxfId="0" priority="1" operator="containsText" text="P0"/>
    <x:cfRule type="containsText" dxfId="1" priority="2" operator="containsText" text="P1"/>
  </x:conditionalFormatting>
  <x:pageMargins left="0.7" right="0.7" top="0.75" bottom="0.75" header="0.3" footer="0.3"/>
  <x:tableParts count="2">
    <x:tablePart xmlns:r="http://schemas.openxmlformats.org/officeDocument/2006/relationships" r:id="Rd219f4fa0e694ec6"/>
    <x:tablePart xmlns:r="http://schemas.openxmlformats.org/officeDocument/2006/relationships" r:id="R7c7eda879b5940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1.110000610351562" hidden="0" customWidth="1"/>
    <x:col min="4" max="4" width="20" hidden="0" customWidth="1"/>
    <x:col min="5" max="5" width="10.5600004196167" hidden="0" customWidth="1"/>
    <x:col min="6" max="6" width="12.220000267028809" hidden="0" customWidth="1"/>
    <x:col min="7" max="7" width="32.220001220703125" hidden="0" customWidth="1"/>
    <x:col min="8" max="8" width="10" hidden="0" customWidth="1"/>
    <x:col min="9" max="9" width="11.109999656677246" hidden="0" customWidth="1"/>
    <x:col min="10" max="10" width="35.560001373291016" hidden="0" customWidth="1"/>
  </x:cols>
  <x:sheetData>
    <x:row r="1" ht="28.5" customHeight="1">
      <x:c r="A1" s="129" t="str">
        <x:v>29 个 LLM 调用点的上下文复用图</x:v>
      </x:c>
      <x:c r="B1" s="129"/>
      <x:c r="C1" s="129"/>
      <x:c r="D1" s="129"/>
      <x:c r="E1" s="129"/>
      <x:c r="F1" s="129"/>
      <x:c r="G1" s="129"/>
      <x:c r="H1" s="129"/>
      <x:c r="I1" s="129"/>
      <x:c r="J1" s="129"/>
    </x:row>
    <x:row r="2" ht="25.5" customHeight="1">
      <x:c r="A2" s="130" t="str">
        <x:v>“通用=是”仅 2 行；Atlas 3 行是领域编译；其余须区分合理 step-local 与缺失项目上下文。</x:v>
      </x:c>
      <x:c r="B2" s="130"/>
      <x:c r="C2" s="130"/>
      <x:c r="D2" s="130"/>
      <x:c r="E2" s="130"/>
      <x:c r="F2" s="130"/>
      <x:c r="G2" s="130"/>
      <x:c r="H2" s="130"/>
      <x:c r="I2" s="130"/>
      <x:c r="J2" s="130"/>
    </x:row>
    <x:row r="3">
      <x:c r="A3" s="131"/>
      <x:c r="B3" s="131"/>
      <x:c r="C3" s="131"/>
      <x:c r="D3" s="131"/>
      <x:c r="E3" s="131"/>
      <x:c r="F3" s="131"/>
      <x:c r="G3" s="131"/>
      <x:c r="H3" s="131"/>
      <x:c r="I3" s="131"/>
      <x:c r="J3" s="131"/>
    </x:row>
    <x:row r="4" ht="25.5" customHeight="1">
      <x:c r="A4" s="168" t="str">
        <x:v>包</x:v>
      </x:c>
      <x:c r="B4" s="169" t="str">
        <x:v>调用点</x:v>
      </x:c>
      <x:c r="C4" s="169" t="str">
        <x:v>spec</x:v>
      </x:c>
      <x:c r="D4" s="169" t="str">
        <x:v>用户/流程</x:v>
      </x:c>
      <x:c r="E4" s="169" t="str">
        <x:v>通用 context</x:v>
      </x:c>
      <x:c r="F4" s="169" t="str">
        <x:v>领域 context</x:v>
      </x:c>
      <x:c r="G4" s="169" t="str">
        <x:v>实际输入</x:v>
      </x:c>
      <x:c r="H4" s="169" t="str">
        <x:v>可追溯</x:v>
      </x:c>
      <x:c r="I4" s="169" t="str">
        <x:v>公开性</x:v>
      </x:c>
      <x:c r="J4" s="170" t="str">
        <x:v>诊断</x:v>
      </x:c>
    </x:row>
    <x:row r="5" ht="42" customHeight="1">
      <x:c r="A5" s="171" t="str">
        <x:v>outline</x:v>
      </x:c>
      <x:c r="B5" s="172" t="str">
        <x:v>preview.ts:99</x:v>
      </x:c>
      <x:c r="C5" s="172" t="str">
        <x:v>story_outline_generate</x:v>
      </x:c>
      <x:c r="D5" s="172" t="str">
        <x:v>总纲 preview</x:v>
      </x:c>
      <x:c r="E5" s="172" t="str">
        <x:v>否</x:v>
      </x:c>
      <x:c r="F5" s="172" t="str">
        <x:v>无</x:v>
      </x:c>
      <x:c r="G5" s="172" t="str">
        <x:v>调用方自由 input</x:v>
      </x:c>
      <x:c r="H5" s="172" t="str">
        <x:v>缺</x:v>
      </x:c>
      <x:c r="I5" s="172" t="str">
        <x:v>公开</x:v>
      </x:c>
      <x:c r="J5" s="174" t="str">
        <x:v>应接项目/世界 source manifest</x:v>
      </x:c>
    </x:row>
    <x:row r="6" ht="42" customHeight="1">
      <x:c r="A6" s="175" t="str">
        <x:v>outline</x:v>
      </x:c>
      <x:c r="B6" s="176" t="str">
        <x:v>preview.ts:132</x:v>
      </x:c>
      <x:c r="C6" s="176" t="str">
        <x:v>outline_generate</x:v>
      </x:c>
      <x:c r="D6" s="176" t="str">
        <x:v>P20 preview</x:v>
      </x:c>
      <x:c r="E6" s="176" t="str">
        <x:v>否</x:v>
      </x:c>
      <x:c r="F6" s="176" t="str">
        <x:v>无</x:v>
      </x:c>
      <x:c r="G6" s="176" t="str">
        <x:v>调用方自由 input</x:v>
      </x:c>
      <x:c r="H6" s="176" t="str">
        <x:v>缺</x:v>
      </x:c>
      <x:c r="I6" s="176" t="str">
        <x:v>公开</x:v>
      </x:c>
      <x:c r="J6" s="178" t="str">
        <x:v>应接确认上下文</x:v>
      </x:c>
    </x:row>
    <x:row r="7" ht="42" customHeight="1">
      <x:c r="A7" s="175" t="str">
        <x:v>world</x:v>
      </x:c>
      <x:c r="B7" s="176" t="str">
        <x:v>generation.ts:27</x:v>
      </x:c>
      <x:c r="C7" s="176" t="str">
        <x:v>world_creation_chat</x:v>
      </x:c>
      <x:c r="D7" s="176" t="str">
        <x:v>世界共创</x:v>
      </x:c>
      <x:c r="E7" s="176" t="str">
        <x:v>否</x:v>
      </x:c>
      <x:c r="F7" s="176" t="str">
        <x:v>无</x:v>
      </x:c>
      <x:c r="G7" s="176" t="str">
        <x:v>调用方自由 input</x:v>
      </x:c>
      <x:c r="H7" s="176" t="str">
        <x:v>缺</x:v>
      </x:c>
      <x:c r="I7" s="176" t="str">
        <x:v>公开</x:v>
      </x:c>
      <x:c r="J7" s="178" t="str">
        <x:v>对话可自由，但引用资料须 manifest</x:v>
      </x:c>
    </x:row>
    <x:row r="8" ht="42" customHeight="1">
      <x:c r="A8" s="175" t="str">
        <x:v>world</x:v>
      </x:c>
      <x:c r="B8" s="176" t="str">
        <x:v>generation.ts:34</x:v>
      </x:c>
      <x:c r="C8" s="176" t="str">
        <x:v>world_convergence</x:v>
      </x:c>
      <x:c r="D8" s="176" t="str">
        <x:v>世界收束</x:v>
      </x:c>
      <x:c r="E8" s="176" t="str">
        <x:v>否</x:v>
      </x:c>
      <x:c r="F8" s="176" t="str">
        <x:v>无</x:v>
      </x:c>
      <x:c r="G8" s="176" t="str">
        <x:v>调用方自由 input</x:v>
      </x:c>
      <x:c r="H8" s="176" t="str">
        <x:v>缺</x:v>
      </x:c>
      <x:c r="I8" s="176" t="str">
        <x:v>公开</x:v>
      </x:c>
      <x:c r="J8" s="178" t="str">
        <x:v>应冻结共创会话与来源</x:v>
      </x:c>
    </x:row>
    <x:row r="9" ht="42" customHeight="1">
      <x:c r="A9" s="175" t="str">
        <x:v>world</x:v>
      </x:c>
      <x:c r="B9" s="176" t="str">
        <x:v>generation.ts:40</x:v>
      </x:c>
      <x:c r="C9" s="176" t="str">
        <x:v>world_exploration</x:v>
      </x:c>
      <x:c r="D9" s="176" t="str">
        <x:v>世界探索</x:v>
      </x:c>
      <x:c r="E9" s="176" t="str">
        <x:v>否</x:v>
      </x:c>
      <x:c r="F9" s="176" t="str">
        <x:v>无</x:v>
      </x:c>
      <x:c r="G9" s="176" t="str">
        <x:v>调用方自由 input</x:v>
      </x:c>
      <x:c r="H9" s="176" t="str">
        <x:v>缺</x:v>
      </x:c>
      <x:c r="I9" s="176" t="str">
        <x:v>公开</x:v>
      </x:c>
      <x:c r="J9" s="178" t="str">
        <x:v>一跳探索可保留；来源需记录</x:v>
      </x:c>
    </x:row>
    <x:row r="10" ht="42" customHeight="1">
      <x:c r="A10" s="175" t="str">
        <x:v>world</x:v>
      </x:c>
      <x:c r="B10" s="176" t="str">
        <x:v>generation.ts:46</x:v>
      </x:c>
      <x:c r="C10" s="176" t="str">
        <x:v>world_semantic_inspection</x:v>
      </x:c>
      <x:c r="D10" s="176" t="str">
        <x:v>世界检修</x:v>
      </x:c>
      <x:c r="E10" s="176" t="str">
        <x:v>否</x:v>
      </x:c>
      <x:c r="F10" s="176" t="str">
        <x:v>无</x:v>
      </x:c>
      <x:c r="G10" s="176" t="str">
        <x:v>调用方自由 input</x:v>
      </x:c>
      <x:c r="H10" s="176" t="str">
        <x:v>缺</x:v>
      </x:c>
      <x:c r="I10" s="176" t="str">
        <x:v>公开</x:v>
      </x:c>
      <x:c r="J10" s="178" t="str">
        <x:v>审查必须有被审版本/hash</x:v>
      </x:c>
    </x:row>
    <x:row r="11" ht="42" customHeight="1">
      <x:c r="A11" s="175" t="str">
        <x:v>world</x:v>
      </x:c>
      <x:c r="B11" s="176" t="str">
        <x:v>generation.ts:56</x:v>
      </x:c>
      <x:c r="C11" s="176" t="str">
        <x:v>world_core_entity</x:v>
      </x:c>
      <x:c r="D11" s="176" t="str">
        <x:v>对象建议</x:v>
      </x:c>
      <x:c r="E11" s="176" t="str">
        <x:v>否</x:v>
      </x:c>
      <x:c r="F11" s="176" t="str">
        <x:v>无</x:v>
      </x:c>
      <x:c r="G11" s="176" t="str">
        <x:v>调用方自由 input</x:v>
      </x:c>
      <x:c r="H11" s="176" t="str">
        <x:v>缺</x:v>
      </x:c>
      <x:c r="I11" s="176" t="str">
        <x:v>core-only</x:v>
      </x:c>
      <x:c r="J11" s="178" t="str">
        <x:v>若公开，先加来源与 preview 语义</x:v>
      </x:c>
    </x:row>
    <x:row r="12" ht="42" customHeight="1">
      <x:c r="A12" s="175" t="str">
        <x:v>world</x:v>
      </x:c>
      <x:c r="B12" s="176" t="str">
        <x:v>generation.ts:104</x:v>
      </x:c>
      <x:c r="C12" s="176" t="str">
        <x:v>world_bible_page/new_page</x:v>
      </x:c>
      <x:c r="D12" s="176" t="str">
        <x:v>世界书 draft</x:v>
      </x:c>
      <x:c r="E12" s="176" t="str">
        <x:v>否</x:v>
      </x:c>
      <x:c r="F12" s="176" t="str">
        <x:v>无</x:v>
      </x:c>
      <x:c r="G12" s="176" t="str">
        <x:v>调用方自由 input</x:v>
      </x:c>
      <x:c r="H12" s="176" t="str">
        <x:v>缺</x:v>
      </x:c>
      <x:c r="I12" s="176" t="str">
        <x:v>公开</x:v>
      </x:c>
      <x:c r="J12" s="178" t="str">
        <x:v>draft 写入前需 source manifest</x:v>
      </x:c>
    </x:row>
    <x:row r="13" ht="42" customHeight="1">
      <x:c r="A13" s="175" t="str">
        <x:v>writing</x:v>
      </x:c>
      <x:c r="B13" s="176" t="str">
        <x:v>generate.ts:62</x:v>
      </x:c>
      <x:c r="C13" s="176" t="str">
        <x:v>writing_generate</x:v>
      </x:c>
      <x:c r="D13" s="176" t="str">
        <x:v>正文候选</x:v>
      </x:c>
      <x:c r="E13" s="176" t="str">
        <x:v>是</x:v>
      </x:c>
      <x:c r="F13" s="176" t="str">
        <x:v>通用</x:v>
      </x:c>
      <x:c r="G13" s="176" t="str">
        <x:v>P0-P3；无 P4</x:v>
      </x:c>
      <x:c r="H13" s="176" t="str">
        <x:v>弱</x:v>
      </x:c>
      <x:c r="I13" s="176" t="str">
        <x:v>公开</x:v>
      </x:c>
      <x:c r="J13" s="178" t="str">
        <x:v>保留；补 RAG/Memory/POV</x:v>
      </x:c>
    </x:row>
    <x:row r="14" ht="42" customHeight="1">
      <x:c r="A14" s="175" t="str">
        <x:v>outline</x:v>
      </x:c>
      <x:c r="B14" s="176" t="str">
        <x:v>generation.ts:15</x:v>
      </x:c>
      <x:c r="C14" s="176" t="str">
        <x:v>story_outline_generate</x:v>
      </x:c>
      <x:c r="D14" s="176" t="str">
        <x:v>旧直写总纲</x:v>
      </x:c>
      <x:c r="E14" s="176" t="str">
        <x:v>否</x:v>
      </x:c>
      <x:c r="F14" s="176" t="str">
        <x:v>无</x:v>
      </x:c>
      <x:c r="G14" s="176" t="str">
        <x:v>调用方自由 input</x:v>
      </x:c>
      <x:c r="H14" s="176" t="str">
        <x:v>缺</x:v>
      </x:c>
      <x:c r="I14" s="176" t="str">
        <x:v>内部 legacy</x:v>
      </x:c>
      <x:c r="J14" s="178" t="str">
        <x:v>不扩；公开路径已用 preview</x:v>
      </x:c>
    </x:row>
    <x:row r="15" ht="42" customHeight="1">
      <x:c r="A15" s="175" t="str">
        <x:v>outline</x:v>
      </x:c>
      <x:c r="B15" s="176" t="str">
        <x:v>generation.ts:57</x:v>
      </x:c>
      <x:c r="C15" s="176" t="str">
        <x:v>outline_generate</x:v>
      </x:c>
      <x:c r="D15" s="176" t="str">
        <x:v>旧直写结构</x:v>
      </x:c>
      <x:c r="E15" s="176" t="str">
        <x:v>否</x:v>
      </x:c>
      <x:c r="F15" s="176" t="str">
        <x:v>无</x:v>
      </x:c>
      <x:c r="G15" s="176" t="str">
        <x:v>调用方自由 input</x:v>
      </x:c>
      <x:c r="H15" s="176" t="str">
        <x:v>缺</x:v>
      </x:c>
      <x:c r="I15" s="176" t="str">
        <x:v>内部 legacy</x:v>
      </x:c>
      <x:c r="J15" s="178" t="str">
        <x:v>不扩；逐步只保留 apply seam</x:v>
      </x:c>
    </x:row>
    <x:row r="16" ht="42" customHeight="1">
      <x:c r="A16" s="175" t="str">
        <x:v>outline</x:v>
      </x:c>
      <x:c r="B16" s="176" t="str">
        <x:v>generation.ts:70</x:v>
      </x:c>
      <x:c r="C16" s="176" t="str">
        <x:v>outline_analyze</x:v>
      </x:c>
      <x:c r="D16" s="176" t="str">
        <x:v>大纲分析</x:v>
      </x:c>
      <x:c r="E16" s="176" t="str">
        <x:v>否</x:v>
      </x:c>
      <x:c r="F16" s="176" t="str">
        <x:v>无</x:v>
      </x:c>
      <x:c r="G16" s="176" t="str">
        <x:v>调用方自由 input</x:v>
      </x:c>
      <x:c r="H16" s="176" t="str">
        <x:v>缺</x:v>
      </x:c>
      <x:c r="I16" s="176" t="str">
        <x:v>公开</x:v>
      </x:c>
      <x:c r="J16" s="178" t="str">
        <x:v>接只读 snapshot</x:v>
      </x:c>
    </x:row>
    <x:row r="17" ht="42" customHeight="1">
      <x:c r="A17" s="175" t="str">
        <x:v>outline</x:v>
      </x:c>
      <x:c r="B17" s="176" t="str">
        <x:v>generation.ts:76</x:v>
      </x:c>
      <x:c r="C17" s="176" t="str">
        <x:v>scene_fusion_draft</x:v>
      </x:c>
      <x:c r="D17" s="176" t="str">
        <x:v>Scene 融合</x:v>
      </x:c>
      <x:c r="E17" s="176" t="str">
        <x:v>否</x:v>
      </x:c>
      <x:c r="F17" s="176" t="str">
        <x:v>无</x:v>
      </x:c>
      <x:c r="G17" s="176" t="str">
        <x:v>调用方自由 input</x:v>
      </x:c>
      <x:c r="H17" s="176" t="str">
        <x:v>缺</x:v>
      </x:c>
      <x:c r="I17" s="176" t="str">
        <x:v>公开</x:v>
      </x:c>
      <x:c r="J17" s="178" t="str">
        <x:v>应冻结 Scene refs/body spans</x:v>
      </x:c>
    </x:row>
    <x:row r="18" ht="42" customHeight="1">
      <x:c r="A18" s="175" t="str">
        <x:v>imports</x:v>
      </x:c>
      <x:c r="B18" s="176" t="str">
        <x:v>alias-relation.ts:254</x:v>
      </x:c>
      <x:c r="C18" s="176" t="str">
        <x:v>alias_relation</x:v>
      </x:c>
      <x:c r="D18" s="176" t="str">
        <x:v>别名/关系抽取</x:v>
      </x:c>
      <x:c r="E18" s="176" t="str">
        <x:v>否</x:v>
      </x:c>
      <x:c r="F18" s="176" t="str">
        <x:v>phase-local</x:v>
      </x:c>
      <x:c r="G18" s="176" t="str">
        <x:v>Scene 对应章节全文</x:v>
      </x:c>
      <x:c r="H18" s="176" t="str">
        <x:v>弱</x:v>
      </x:c>
      <x:c r="I18" s="176" t="str">
        <x:v>深导</x:v>
      </x:c>
      <x:c r="J18" s="178" t="str">
        <x:v>可保留 step-local；补来源 ref/hash</x:v>
      </x:c>
    </x:row>
    <x:row r="19" ht="42" customHeight="1">
      <x:c r="A19" s="175" t="str">
        <x:v>rag</x:v>
      </x:c>
      <x:c r="B19" s="176" t="str">
        <x:v>rerank.ts:26</x:v>
      </x:c>
      <x:c r="C19" s="176" t="str">
        <x:v>rag_rerank</x:v>
      </x:c>
      <x:c r="D19" s="176" t="str">
        <x:v>候选重排</x:v>
      </x:c>
      <x:c r="E19" s="176" t="str">
        <x:v>否</x:v>
      </x:c>
      <x:c r="F19" s="176" t="str">
        <x:v>step-local</x:v>
      </x:c>
      <x:c r="G19" s="176" t="str">
        <x:v>query + candidate chunks</x:v>
      </x:c>
      <x:c r="H19" s="176" t="str">
        <x:v>足够</x:v>
      </x:c>
      <x:c r="I19" s="176" t="str">
        <x:v>rag_search</x:v>
      </x:c>
      <x:c r="J19" s="178" t="str">
        <x:v>绕过通用 context 合理</x:v>
      </x:c>
    </x:row>
    <x:row r="20" ht="42" customHeight="1">
      <x:c r="A20" s="175" t="str">
        <x:v>world</x:v>
      </x:c>
      <x:c r="B20" s="176" t="str">
        <x:v>map-atlas/plan.ts:675</x:v>
      </x:c>
      <x:c r="C20" s="176" t="str">
        <x:v>map_atlas_plan</x:v>
      </x:c>
      <x:c r="D20" s="176" t="str">
        <x:v>Atlas 单次规划</x:v>
      </x:c>
      <x:c r="E20" s="176" t="str">
        <x:v>否</x:v>
      </x:c>
      <x:c r="F20" s="176" t="str">
        <x:v>Atlas</x:v>
      </x:c>
      <x:c r="G20" s="176" t="str">
        <x:v>packets+manifest+hash</x:v>
      </x:c>
      <x:c r="H20" s="176" t="str">
        <x:v>强</x:v>
      </x:c>
      <x:c r="I20" s="176" t="str">
        <x:v>core</x:v>
      </x:c>
      <x:c r="J20" s="178" t="str">
        <x:v>保留领域编译器</x:v>
      </x:c>
    </x:row>
    <x:row r="21" ht="42" customHeight="1">
      <x:c r="A21" s="175" t="str">
        <x:v>writing</x:v>
      </x:c>
      <x:c r="B21" s="176" t="str">
        <x:v>propose.ts:119</x:v>
      </x:c>
      <x:c r="C21" s="176" t="str">
        <x:v>next_chapter_proposal</x:v>
      </x:c>
      <x:c r="D21" s="176" t="str">
        <x:v>续写方向</x:v>
      </x:c>
      <x:c r="E21" s="176" t="str">
        <x:v>是</x:v>
      </x:c>
      <x:c r="F21" s="176" t="str">
        <x:v>通用</x:v>
      </x:c>
      <x:c r="G21" s="176" t="str">
        <x:v>P0-P3；无 P4</x:v>
      </x:c>
      <x:c r="H21" s="176" t="str">
        <x:v>弱</x:v>
      </x:c>
      <x:c r="I21" s="176" t="str">
        <x:v>公开</x:v>
      </x:c>
      <x:c r="J21" s="178" t="str">
        <x:v>补 RAG/Memory/POV</x:v>
      </x:c>
    </x:row>
    <x:row r="22" ht="42" customHeight="1">
      <x:c r="A22" s="175" t="str">
        <x:v>world</x:v>
      </x:c>
      <x:c r="B22" s="176" t="str">
        <x:v>map-atlas/spatial.ts:264</x:v>
      </x:c>
      <x:c r="C22" s="176" t="str">
        <x:v>map_spatial_facts</x:v>
      </x:c>
      <x:c r="D22" s="176" t="str">
        <x:v>空间事实</x:v>
      </x:c>
      <x:c r="E22" s="176" t="str">
        <x:v>否</x:v>
      </x:c>
      <x:c r="F22" s="176" t="str">
        <x:v>Atlas</x:v>
      </x:c>
      <x:c r="G22" s="176" t="str">
        <x:v>按地点 packets</x:v>
      </x:c>
      <x:c r="H22" s="176" t="str">
        <x:v>强</x:v>
      </x:c>
      <x:c r="I22" s="176" t="str">
        <x:v>Atlas</x:v>
      </x:c>
      <x:c r="J22" s="178" t="str">
        <x:v>保留领域编译器</x:v>
      </x:c>
    </x:row>
    <x:row r="23" ht="42" customHeight="1">
      <x:c r="A23" s="175" t="str">
        <x:v>writing</x:v>
      </x:c>
      <x:c r="B23" s="176" t="str">
        <x:v>revise.ts:102</x:v>
      </x:c>
      <x:c r="C23" s="176" t="str">
        <x:v>targeted_revision</x:v>
      </x:c>
      <x:c r="D23" s="176" t="str">
        <x:v>finding 返修</x:v>
      </x:c>
      <x:c r="E23" s="176" t="str">
        <x:v>否</x:v>
      </x:c>
      <x:c r="F23" s="176" t="str">
        <x:v>step-local</x:v>
      </x:c>
      <x:c r="G23" s="176" t="str">
        <x:v>冻结正文 + findings</x:v>
      </x:c>
      <x:c r="H23" s="176" t="str">
        <x:v>中</x:v>
      </x:c>
      <x:c r="I23" s="176" t="str">
        <x:v>公开</x:v>
      </x:c>
      <x:c r="J23" s="178" t="str">
        <x:v>本地修订可绕过；需绑定 review/hash</x:v>
      </x:c>
    </x:row>
    <x:row r="24" ht="42" customHeight="1">
      <x:c r="A24" s="175" t="str">
        <x:v>imports</x:v>
      </x:c>
      <x:c r="B24" s="176" t="str">
        <x:v>stages.ts:70</x:v>
      </x:c>
      <x:c r="C24" s="176" t="str">
        <x:v>scene_slicing</x:v>
      </x:c>
      <x:c r="D24" s="176" t="str">
        <x:v>逐章切 Scene</x:v>
      </x:c>
      <x:c r="E24" s="176" t="str">
        <x:v>否</x:v>
      </x:c>
      <x:c r="F24" s="176" t="str">
        <x:v>未接</x:v>
      </x:c>
      <x:c r="G24" s="176" t="str">
        <x:v>正文；phase1aContext 当前未传</x:v>
      </x:c>
      <x:c r="H24" s="176" t="str">
        <x:v>弱</x:v>
      </x:c>
      <x:c r="I24" s="176" t="str">
        <x:v>深导</x:v>
      </x:c>
      <x:c r="J24" s="178" t="str">
        <x:v>P0 接 author-safe 上下文</x:v>
      </x:c>
    </x:row>
    <x:row r="25" ht="42" customHeight="1">
      <x:c r="A25" s="175" t="str">
        <x:v>imports</x:v>
      </x:c>
      <x:c r="B25" s="176" t="str">
        <x:v>stages.ts:159</x:v>
      </x:c>
      <x:c r="C25" s="176" t="str">
        <x:v>scene_enrichment</x:v>
      </x:c>
      <x:c r="D25" s="176" t="str">
        <x:v>Scene 补全</x:v>
      </x:c>
      <x:c r="E25" s="176" t="str">
        <x:v>否</x:v>
      </x:c>
      <x:c r="F25" s="176" t="str">
        <x:v>step-local</x:v>
      </x:c>
      <x:c r="G25" s="176" t="str">
        <x:v>Scene 卡 JSON</x:v>
      </x:c>
      <x:c r="H25" s="176" t="str">
        <x:v>弱</x:v>
      </x:c>
      <x:c r="I25" s="176" t="str">
        <x:v>深导</x:v>
      </x:c>
      <x:c r="J25" s="178" t="str">
        <x:v>可补相邻 Scene/结构约束</x:v>
      </x:c>
    </x:row>
    <x:row r="26" ht="42" customHeight="1">
      <x:c r="A26" s="175" t="str">
        <x:v>imports</x:v>
      </x:c>
      <x:c r="B26" s="176" t="str">
        <x:v>stages.ts:213</x:v>
      </x:c>
      <x:c r="C26" s="176" t="str">
        <x:v>scene_fusion</x:v>
      </x:c>
      <x:c r="D26" s="176" t="str">
        <x:v>Scene 去重融合判断</x:v>
      </x:c>
      <x:c r="E26" s="176" t="str">
        <x:v>否</x:v>
      </x:c>
      <x:c r="F26" s="176" t="str">
        <x:v>step-local</x:v>
      </x:c>
      <x:c r="G26" s="176" t="str">
        <x:v>左右候选 JSON</x:v>
      </x:c>
      <x:c r="H26" s="176" t="str">
        <x:v>中</x:v>
      </x:c>
      <x:c r="I26" s="176" t="str">
        <x:v>深导</x:v>
      </x:c>
      <x:c r="J26" s="178" t="str">
        <x:v>step-local 合理，保留 refs/hash</x:v>
      </x:c>
    </x:row>
    <x:row r="27" ht="42" customHeight="1">
      <x:c r="A27" s="175" t="str">
        <x:v>imports</x:v>
      </x:c>
      <x:c r="B27" s="176" t="str">
        <x:v>entities.ts:95</x:v>
      </x:c>
      <x:c r="C27" s="176" t="str">
        <x:v>entity_extraction</x:v>
      </x:c>
      <x:c r="D27" s="176" t="str">
        <x:v>实体抽取</x:v>
      </x:c>
      <x:c r="E27" s="176" t="str">
        <x:v>否</x:v>
      </x:c>
      <x:c r="F27" s="176" t="str">
        <x:v>phase-local</x:v>
      </x:c>
      <x:c r="G27" s="176" t="str">
        <x:v>Scene 对应章节全文</x:v>
      </x:c>
      <x:c r="H27" s="176" t="str">
        <x:v>弱</x:v>
      </x:c>
      <x:c r="I27" s="176" t="str">
        <x:v>深导</x:v>
      </x:c>
      <x:c r="J27" s="178" t="str">
        <x:v>增加 Scene ref 与已有对象候选</x:v>
      </x:c>
    </x:row>
    <x:row r="28" ht="42" customHeight="1">
      <x:c r="A28" s="175" t="str">
        <x:v>writing</x:v>
      </x:c>
      <x:c r="B28" s="176" t="str">
        <x:v>review.ts:156</x:v>
      </x:c>
      <x:c r="C28" s="176" t="str">
        <x:v>semantic_review</x:v>
      </x:c>
      <x:c r="D28" s="176" t="str">
        <x:v>旧 current 审查</x:v>
      </x:c>
      <x:c r="E28" s="176" t="str">
        <x:v>否</x:v>
      </x:c>
      <x:c r="F28" s="176" t="str">
        <x:v>step-local</x:v>
      </x:c>
      <x:c r="G28" s="176" t="str">
        <x:v>正文</x:v>
      </x:c>
      <x:c r="H28" s="176" t="str">
        <x:v>中</x:v>
      </x:c>
      <x:c r="I28" s="176" t="str">
        <x:v>internal</x:v>
      </x:c>
      <x:c r="J28" s="178" t="str">
        <x:v>独立近读合理；跨域审查另建 confirmed context</x:v>
      </x:c>
    </x:row>
    <x:row r="29" ht="42" customHeight="1">
      <x:c r="A29" s="175" t="str">
        <x:v>writing</x:v>
      </x:c>
      <x:c r="B29" s="176" t="str">
        <x:v>review.ts:201</x:v>
      </x:c>
      <x:c r="C29" s="176" t="str">
        <x:v>semantic_review</x:v>
      </x:c>
      <x:c r="D29" s="176" t="str">
        <x:v>current 审查</x:v>
      </x:c>
      <x:c r="E29" s="176" t="str">
        <x:v>否</x:v>
      </x:c>
      <x:c r="F29" s="176" t="str">
        <x:v>step-local</x:v>
      </x:c>
      <x:c r="G29" s="176" t="str">
        <x:v>冻结正文</x:v>
      </x:c>
      <x:c r="H29" s="176" t="str">
        <x:v>中</x:v>
      </x:c>
      <x:c r="I29" s="176" t="str">
        <x:v>公开</x:v>
      </x:c>
      <x:c r="J29" s="178" t="str">
        <x:v>绑定 context snapshot 后扩 continuity</x:v>
      </x:c>
    </x:row>
    <x:row r="30" ht="42" customHeight="1">
      <x:c r="A30" s="175" t="str">
        <x:v>writing</x:v>
      </x:c>
      <x:c r="B30" s="176" t="str">
        <x:v>review.ts:291</x:v>
      </x:c>
      <x:c r="C30" s="176" t="str">
        <x:v>semantic_review</x:v>
      </x:c>
      <x:c r="D30" s="176" t="str">
        <x:v>candidate 审查</x:v>
      </x:c>
      <x:c r="E30" s="176" t="str">
        <x:v>否</x:v>
      </x:c>
      <x:c r="F30" s="176" t="str">
        <x:v>step-local</x:v>
      </x:c>
      <x:c r="G30" s="176" t="str">
        <x:v>冻结候选</x:v>
      </x:c>
      <x:c r="H30" s="176" t="str">
        <x:v>中</x:v>
      </x:c>
      <x:c r="I30" s="176" t="str">
        <x:v>公开</x:v>
      </x:c>
      <x:c r="J30" s="178" t="str">
        <x:v>绑定 base/current context snapshot</x:v>
      </x:c>
    </x:row>
    <x:row r="31" ht="42" customHeight="1">
      <x:c r="A31" s="175" t="str">
        <x:v>imports</x:v>
      </x:c>
      <x:c r="B31" s="176" t="str">
        <x:v>dedup.ts:106</x:v>
      </x:c>
      <x:c r="C31" s="176" t="str">
        <x:v>dedup_judge</x:v>
      </x:c>
      <x:c r="D31" s="176" t="str">
        <x:v>实体去重二判</x:v>
      </x:c>
      <x:c r="E31" s="176" t="str">
        <x:v>否</x:v>
      </x:c>
      <x:c r="F31" s="176" t="str">
        <x:v>step-local</x:v>
      </x:c>
      <x:c r="G31" s="176" t="str">
        <x:v>同名候选列表</x:v>
      </x:c>
      <x:c r="H31" s="176" t="str">
        <x:v>弱</x:v>
      </x:c>
      <x:c r="I31" s="176" t="str">
        <x:v>深导</x:v>
      </x:c>
      <x:c r="J31" s="178" t="str">
        <x:v>加入来源 Scene 摘要，保留可逆</x:v>
      </x:c>
    </x:row>
    <x:row r="32" ht="42" customHeight="1">
      <x:c r="A32" s="175" t="str">
        <x:v>world</x:v>
      </x:c>
      <x:c r="B32" s="176" t="str">
        <x:v>map-atlas/workflow.ts:643</x:v>
      </x:c>
      <x:c r="C32" s="176" t="str">
        <x:v>map_atlas_plan</x:v>
      </x:c>
      <x:c r="D32" s="176" t="str">
        <x:v>耐久 Atlas workflow</x:v>
      </x:c>
      <x:c r="E32" s="176" t="str">
        <x:v>否</x:v>
      </x:c>
      <x:c r="F32" s="176" t="str">
        <x:v>Atlas</x:v>
      </x:c>
      <x:c r="G32" s="176" t="str">
        <x:v>冻结 ctx artifact</x:v>
      </x:c>
      <x:c r="H32" s="176" t="str">
        <x:v>强</x:v>
      </x:c>
      <x:c r="I32" s="176" t="str">
        <x:v>公开</x:v>
      </x:c>
      <x:c r="J32" s="178" t="str">
        <x:v>当前最佳参考实现</x:v>
      </x:c>
    </x:row>
    <x:row r="33" ht="42" customHeight="1">
      <x:c r="A33" s="179" t="str">
        <x:v>imports</x:v>
      </x:c>
      <x:c r="B33" s="180" t="str">
        <x:v>structure.ts:145</x:v>
      </x:c>
      <x:c r="C33" s="180" t="str">
        <x:v>structure_analysis</x:v>
      </x:c>
      <x:c r="D33" s="180" t="str">
        <x:v>剧情结构分析</x:v>
      </x:c>
      <x:c r="E33" s="180" t="str">
        <x:v>否</x:v>
      </x:c>
      <x:c r="F33" s="180" t="str">
        <x:v>空</x:v>
      </x:c>
      <x:c r="G33" s="180" t="str">
        <x:v>未传 context 时仅一句通用指令</x:v>
      </x:c>
      <x:c r="H33" s="180" t="str">
        <x:v>无</x:v>
      </x:c>
      <x:c r="I33" s="180" t="str">
        <x:v>深导</x:v>
      </x:c>
      <x:c r="J33" s="182" t="str">
        <x:v>P0：真实 Scene/对象/章节范围 manifest</x:v>
      </x:c>
    </x:row>
  </x:sheetData>
  <x:mergeCells>
    <x:mergeCell ref="A1:J1"/>
    <x:mergeCell ref="A2:J2"/>
  </x:mergeCells>
  <x:conditionalFormatting sqref="E5:E33">
    <x:cfRule type="containsText" dxfId="2" priority="1" operator="containsText" text="是"/>
  </x:conditionalFormatting>
  <x:conditionalFormatting sqref="F5:F33">
    <x:cfRule type="containsText" dxfId="3" priority="2" operator="containsText" text="空"/>
  </x:conditionalFormatting>
  <x:pageMargins left="0.7" right="0.7" top="0.75" bottom="0.75" header="0.3" footer="0.3"/>
  <x:tableParts count="1">
    <x:tablePart xmlns:r="http://schemas.openxmlformats.org/officeDocument/2006/relationships" r:id="Rb314b47f1c0248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2.219999313354492" hidden="0" customWidth="1"/>
    <x:col min="4" max="4" width="11.109999656677246" hidden="0" customWidth="1"/>
    <x:col min="5" max="5" width="11.109999656677246" hidden="0" customWidth="1"/>
    <x:col min="6" max="6" width="26.670000076293945" hidden="0" customWidth="1"/>
    <x:col min="7" max="7" width="16.670000076293945" hidden="0" customWidth="1"/>
    <x:col min="8" max="8" width="28.889999389648438" hidden="0" customWidth="1"/>
    <x:col min="9" max="9" width="11.670000076293945" hidden="0" customWidth="1"/>
    <x:col min="10" max="10" width="11.670000076293945" hidden="0" customWidth="1"/>
    <x:col min="11" max="11" width="7.78000020980835" hidden="0" customWidth="1"/>
    <x:col min="12" max="12" width="36.66999816894531" hidden="0" customWidth="1"/>
    <x:col min="13" max="13" width="10" hidden="0" customWidth="1"/>
    <x:col min="14" max="14" width="26.670000076293945" hidden="0" customWidth="1"/>
    <x:col min="15" max="15" width="40" hidden="0" customWidth="1"/>
  </x:cols>
  <x:sheetData>
    <x:row r="1" ht="28.5" customHeight="1">
      <x:c r="A1" s="129" t="str">
        <x:v>主流 AI 平台最新规格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</x:row>
    <x:row r="2" ht="25.5" customHeight="1">
      <x:c r="A2" s="130" t="str">
        <x:v>只使用官方页面；价格按表中口径，不同币种/峰谷不可直接横比。规格不等于小说质量。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  <x:c r="N2" s="130"/>
      <x:c r="O2" s="130"/>
    </x:row>
    <x:row r="3">
      <x:c r="A3" s="131"/>
      <x:c r="B3" s="131"/>
      <x:c r="C3" s="131"/>
      <x:c r="D3" s="131"/>
      <x:c r="E3" s="131"/>
      <x:c r="F3" s="131"/>
      <x:c r="G3" s="131"/>
      <x:c r="H3" s="131"/>
      <x:c r="I3" s="131"/>
      <x:c r="J3" s="131"/>
      <x:c r="K3" s="131"/>
      <x:c r="L3" s="131"/>
      <x:c r="M3" s="131"/>
      <x:c r="N3" s="131"/>
      <x:c r="O3" s="131"/>
    </x:row>
    <x:row r="4" ht="25.5" customHeight="1">
      <x:c r="A4" s="168" t="str">
        <x:v>提供商</x:v>
      </x:c>
      <x:c r="B4" s="169" t="str">
        <x:v>模型 ID</x:v>
      </x:c>
      <x:c r="C4" s="169" t="str">
        <x:v>版本/定位</x:v>
      </x:c>
      <x:c r="D4" s="169" t="str">
        <x:v>Context</x:v>
      </x:c>
      <x:c r="E4" s="169" t="str">
        <x:v>最大输出</x:v>
      </x:c>
      <x:c r="F4" s="169" t="str">
        <x:v>思考控制</x:v>
      </x:c>
      <x:c r="G4" s="169" t="str">
        <x:v>默认思考</x:v>
      </x:c>
      <x:c r="H4" s="169" t="str">
        <x:v>平台能力</x:v>
      </x:c>
      <x:c r="I4" s="169" t="str">
        <x:v>输入价/1M</x:v>
      </x:c>
      <x:c r="J4" s="169" t="str">
        <x:v>输出价/1M</x:v>
      </x:c>
      <x:c r="K4" s="169" t="str">
        <x:v>币种</x:v>
      </x:c>
      <x:c r="L4" s="169" t="str">
        <x:v>价格/兼容 caveat</x:v>
      </x:c>
      <x:c r="M4" s="169" t="str">
        <x:v>项目适配分</x:v>
      </x:c>
      <x:c r="N4" s="169" t="str">
        <x:v>建议角色</x:v>
      </x:c>
      <x:c r="O4" s="170" t="str">
        <x:v>官方来源</x:v>
      </x:c>
    </x:row>
    <x:row r="5" ht="51" customHeight="1">
      <x:c r="A5" s="171" t="str">
        <x:v>DeepSeek</x:v>
      </x:c>
      <x:c r="B5" s="172" t="str">
        <x:v>deepseek-v4-flash</x:v>
      </x:c>
      <x:c r="C5" s="172" t="str">
        <x:v>DeepSeek-V4-Flash-0731</x:v>
      </x:c>
      <x:c r="D5" s="184" t="n">
        <x:v>1000000</x:v>
      </x:c>
      <x:c r="E5" s="184" t="n">
        <x:v>384000</x:v>
      </x:c>
      <x:c r="F5" s="172" t="str">
        <x:v>none/low/high/max；medium/xhigh→high</x:v>
      </x:c>
      <x:c r="G5" s="172" t="str">
        <x:v>thinking=enabled，effort=high</x:v>
      </x:c>
      <x:c r="H5" s="172" t="str">
        <x:v>JSON、Tools、Responses、Anthropic</x:v>
      </x:c>
      <x:c r="I5" s="185" t="n">
        <x:v>0.22</x:v>
      </x:c>
      <x:c r="J5" s="185" t="n">
        <x:v>0.66</x:v>
      </x:c>
      <x:c r="K5" s="172" t="str">
        <x:v>USD</x:v>
      </x:c>
      <x:c r="L5" s="172" t="str">
        <x:v>off-peak；peak 2x；thinking 下 temperature/top_p 无效</x:v>
      </x:c>
      <x:c r="M5" s="173" t="n">
        <x:v>90</x:v>
      </x:c>
      <x:c r="N5" s="172" t="str">
        <x:v>主默认候选；先修项目 route/effort</x:v>
      </x:c>
      <x:c r="O5" s="174" t="str">
        <x:v>https://api-docs.deepseek.com/quick_start/pricing/</x:v>
      </x:c>
    </x:row>
    <x:row r="6" ht="51" customHeight="1">
      <x:c r="A6" s="175" t="str">
        <x:v>DeepSeek</x:v>
      </x:c>
      <x:c r="B6" s="176" t="str">
        <x:v>deepseek-v4-pro</x:v>
      </x:c>
      <x:c r="C6" s="176" t="str">
        <x:v>DeepSeek-V4-Pro-0813</x:v>
      </x:c>
      <x:c r="D6" s="186" t="n">
        <x:v>1000000</x:v>
      </x:c>
      <x:c r="E6" s="186" t="n">
        <x:v>384000</x:v>
      </x:c>
      <x:c r="F6" s="176" t="str">
        <x:v>none/low/high/max；medium/xhigh→high</x:v>
      </x:c>
      <x:c r="G6" s="176" t="str">
        <x:v>thinking=enabled，effort=high</x:v>
      </x:c>
      <x:c r="H6" s="176" t="str">
        <x:v>JSON、Tools、Responses、Anthropic</x:v>
      </x:c>
      <x:c r="I6" s="187" t="n">
        <x:v>0.66</x:v>
      </x:c>
      <x:c r="J6" s="187" t="n">
        <x:v>1.98</x:v>
      </x:c>
      <x:c r="K6" s="176" t="str">
        <x:v>USD</x:v>
      </x:c>
      <x:c r="L6" s="176" t="str">
        <x:v>off-peak；peak 2x；高质量内容候选</x:v>
      </x:c>
      <x:c r="M6" s="177" t="n">
        <x:v>88</x:v>
      </x:c>
      <x:c r="N6" s="176" t="str">
        <x:v>写作/精修 A/B 候选</x:v>
      </x:c>
      <x:c r="O6" s="178" t="str">
        <x:v>https://api-docs.deepseek.com/guides/thinking_mode/</x:v>
      </x:c>
    </x:row>
    <x:row r="7" ht="51" customHeight="1">
      <x:c r="A7" s="175" t="str">
        <x:v>OpenAI</x:v>
      </x:c>
      <x:c r="B7" s="176" t="str">
        <x:v>gpt-5.6-terra</x:v>
      </x:c>
      <x:c r="C7" s="176" t="str">
        <x:v>GPT-5.6 Terra</x:v>
      </x:c>
      <x:c r="D7" s="186" t="n">
        <x:v>1050000</x:v>
      </x:c>
      <x:c r="E7" s="186" t="n">
        <x:v>128000</x:v>
      </x:c>
      <x:c r="F7" s="176" t="str">
        <x:v>none/low/medium/high/xhigh/max</x:v>
      </x:c>
      <x:c r="G7" s="176" t="str">
        <x:v>medium</x:v>
      </x:c>
      <x:c r="H7" s="176" t="str">
        <x:v>Functions、Structured Outputs、Responses、Tools</x:v>
      </x:c>
      <x:c r="I7" s="187" t="n">
        <x:v>2</x:v>
      </x:c>
      <x:c r="J7" s="187" t="n">
        <x:v>12</x:v>
      </x:c>
      <x:c r="K7" s="176" t="str">
        <x:v>USD</x:v>
      </x:c>
      <x:c r="L7" s="176" t="str">
        <x:v>&gt;272K 输入整请求 2x input/1.5x output</x:v>
      </x:c>
      <x:c r="M7" s="177" t="n">
        <x:v>78</x:v>
      </x:c>
      <x:c r="N7" s="176" t="str">
        <x:v>平衡质量/成本的跨族 A/B</x:v>
      </x:c>
      <x:c r="O7" s="178" t="str">
        <x:v>https://developers.openai.com/api/docs/models/gpt-5.6-terra</x:v>
      </x:c>
    </x:row>
    <x:row r="8" ht="51" customHeight="1">
      <x:c r="A8" s="175" t="str">
        <x:v>OpenAI</x:v>
      </x:c>
      <x:c r="B8" s="176" t="str">
        <x:v>gpt-5.6-sol</x:v>
      </x:c>
      <x:c r="C8" s="176" t="str">
        <x:v>GPT-5.6 Sol</x:v>
      </x:c>
      <x:c r="D8" s="186" t="n">
        <x:v>1050000</x:v>
      </x:c>
      <x:c r="E8" s="186" t="n">
        <x:v>128000</x:v>
      </x:c>
      <x:c r="F8" s="176" t="str">
        <x:v>none/low/medium/high/xhigh/max；pro mode</x:v>
      </x:c>
      <x:c r="G8" s="176" t="str">
        <x:v>medium</x:v>
      </x:c>
      <x:c r="H8" s="176" t="str">
        <x:v>Functions、Structured Outputs、Responses、Tools</x:v>
      </x:c>
      <x:c r="I8" s="187" t="n">
        <x:v>4</x:v>
      </x:c>
      <x:c r="J8" s="187" t="n">
        <x:v>20</x:v>
      </x:c>
      <x:c r="K8" s="176" t="str">
        <x:v>USD</x:v>
      </x:c>
      <x:c r="L8" s="176" t="str">
        <x:v>旗舰；复杂审查/高价值任务</x:v>
      </x:c>
      <x:c r="M8" s="177" t="n">
        <x:v>75</x:v>
      </x:c>
      <x:c r="N8" s="176" t="str">
        <x:v>高难审查/结构验证 A/B</x:v>
      </x:c>
      <x:c r="O8" s="178" t="str">
        <x:v>https://developers.openai.com/api/docs/models/gpt-5.6-sol</x:v>
      </x:c>
    </x:row>
    <x:row r="9" ht="51" customHeight="1">
      <x:c r="A9" s="175" t="str">
        <x:v>Anthropic</x:v>
      </x:c>
      <x:c r="B9" s="176" t="str">
        <x:v>claude-sonnet-5</x:v>
      </x:c>
      <x:c r="C9" s="176" t="str">
        <x:v>Claude Sonnet 5</x:v>
      </x:c>
      <x:c r="D9" s="186" t="n">
        <x:v>1000000</x:v>
      </x:c>
      <x:c r="E9" s="186" t="n">
        <x:v>128000</x:v>
      </x:c>
      <x:c r="F9" s="176" t="str">
        <x:v>adaptive thinking + effort</x:v>
      </x:c>
      <x:c r="G9" s="176" t="str">
        <x:v>thinking on，effort high</x:v>
      </x:c>
      <x:c r="H9" s="176" t="str">
        <x:v>Tools、Files/PDF、Vision、Structured Outputs</x:v>
      </x:c>
      <x:c r="I9" s="187" t="n">
        <x:v>2</x:v>
      </x:c>
      <x:c r="J9" s="187" t="n">
        <x:v>10</x:v>
      </x:c>
      <x:c r="K9" s="176" t="str">
        <x:v>USD</x:v>
      </x:c>
      <x:c r="L9" s="176" t="str">
        <x:v>非默认 temperature/top_p/top_k 返回 400；新 tokenizer 同文约多 30% token</x:v>
      </x:c>
      <x:c r="M9" s="177" t="n">
        <x:v>72</x:v>
      </x:c>
      <x:c r="N9" s="176" t="str">
        <x:v>内容/审查强候选；必须按模型抑制采样参数</x:v>
      </x:c>
      <x:c r="O9" s="178" t="str">
        <x:v>https://platform.claude.com/docs/en/models/sonnet-5/whats-new-sonnet-5</x:v>
      </x:c>
    </x:row>
    <x:row r="10" ht="51" customHeight="1">
      <x:c r="A10" s="175" t="str">
        <x:v>Anthropic</x:v>
      </x:c>
      <x:c r="B10" s="176" t="str">
        <x:v>claude-opus-5</x:v>
      </x:c>
      <x:c r="C10" s="176" t="str">
        <x:v>Claude Opus 5</x:v>
      </x:c>
      <x:c r="D10" s="186" t="n">
        <x:v>1000000</x:v>
      </x:c>
      <x:c r="E10" s="186" t="n">
        <x:v>128000</x:v>
      </x:c>
      <x:c r="F10" s="176" t="str">
        <x:v>adaptive thinking + effort</x:v>
      </x:c>
      <x:c r="G10" s="176" t="str">
        <x:v>thinking on，effort high</x:v>
      </x:c>
      <x:c r="H10" s="176" t="str">
        <x:v>Tools、long-horizon、Vision</x:v>
      </x:c>
      <x:c r="I10" s="187" t="n">
        <x:v>5</x:v>
      </x:c>
      <x:c r="J10" s="187" t="n">
        <x:v>25</x:v>
      </x:c>
      <x:c r="K10" s="176" t="str">
        <x:v>USD</x:v>
      </x:c>
      <x:c r="L10" s="176" t="str">
        <x:v>高成本；适合少量高价值裁决</x:v>
      </x:c>
      <x:c r="M10" s="177" t="n">
        <x:v>66</x:v>
      </x:c>
      <x:c r="N10" s="176" t="str">
        <x:v>最终审计 A/B，不作默认批处理</x:v>
      </x:c>
      <x:c r="O10" s="178" t="str">
        <x:v>https://platform.claude.com/docs/en/about-claude/models/whats-new-claude-4-6</x:v>
      </x:c>
    </x:row>
    <x:row r="11" ht="51" customHeight="1">
      <x:c r="A11" s="175" t="str">
        <x:v>Google</x:v>
      </x:c>
      <x:c r="B11" s="176" t="str">
        <x:v>gemini-3.7-flash</x:v>
      </x:c>
      <x:c r="C11" s="176" t="str">
        <x:v>Gemini 3.7 Flash</x:v>
      </x:c>
      <x:c r="D11" s="186" t="n">
        <x:v>1048576</x:v>
      </x:c>
      <x:c r="E11" s="186" t="n">
        <x:v>65536</x:v>
      </x:c>
      <x:c r="F11" s="176" t="str">
        <x:v>low/medium/high</x:v>
      </x:c>
      <x:c r="G11" s="176" t="str">
        <x:v>medium</x:v>
      </x:c>
      <x:c r="H11" s="176" t="str">
        <x:v>多模态、Tools、Search/Maps、Structured Outputs</x:v>
      </x:c>
      <x:c r="I11" s="187" t="n">
        <x:v>0.75</x:v>
      </x:c>
      <x:c r="J11" s="187" t="n">
        <x:v>3.75</x:v>
      </x:c>
      <x:c r="K11" s="176" t="str">
        <x:v>USD</x:v>
      </x:c>
      <x:c r="L11" s="176" t="str">
        <x:v>2026-12-31 前介绍价；采样参数迁移有兼容变化</x:v>
      </x:c>
      <x:c r="M11" s="177" t="n">
        <x:v>80</x:v>
      </x:c>
      <x:c r="N11" s="176" t="str">
        <x:v>长上下文/多模态/结构 A/B</x:v>
      </x:c>
      <x:c r="O11" s="178" t="str">
        <x:v>https://ai.google.dev/gemini-api/docs/models/gemini-3.7-flash</x:v>
      </x:c>
    </x:row>
    <x:row r="12" ht="51" customHeight="1">
      <x:c r="A12" s="179" t="str">
        <x:v>Alibaba</x:v>
      </x:c>
      <x:c r="B12" s="180" t="str">
        <x:v>qwen3.7-plus</x:v>
      </x:c>
      <x:c r="C12" s="180" t="str">
        <x:v>Qwen3.7 Plus 2026-05-26</x:v>
      </x:c>
      <x:c r="D12" s="188" t="n">
        <x:v>1000000</x:v>
      </x:c>
      <x:c r="E12" s="188" t="n">
        <x:v>131072</x:v>
      </x:c>
      <x:c r="F12" s="180" t="str">
        <x:v>hybrid thinking；thinking_budget/Responses effort</x:v>
      </x:c>
      <x:c r="G12" s="180" t="str">
        <x:v>thinking enabled</x:v>
      </x:c>
      <x:c r="H12" s="180" t="str">
        <x:v>Function Calling、Built-in Tools、Structured Output</x:v>
      </x:c>
      <x:c r="I12" s="189" t="n">
        <x:v>2</x:v>
      </x:c>
      <x:c r="J12" s="189" t="n">
        <x:v>8</x:v>
      </x:c>
      <x:c r="K12" s="180" t="str">
        <x:v>CNY</x:v>
      </x:c>
      <x:c r="L12" s="180" t="str">
        <x:v>北京 &lt;=256K 原价；&gt;256K 为 6/24 CNY</x:v>
      </x:c>
      <x:c r="M12" s="181" t="n">
        <x:v>82</x:v>
      </x:c>
      <x:c r="N12" s="180" t="str">
        <x:v>中文长篇与结构化 A/B</x:v>
      </x:c>
      <x:c r="O12" s="182" t="str">
        <x:v>https://help.aliyun.com/zh/model-studio/qwen3-7-plus</x:v>
      </x:c>
    </x:row>
  </x:sheetData>
  <x:mergeCells>
    <x:mergeCell ref="A1:O1"/>
    <x:mergeCell ref="A2:O2"/>
  </x:mergeCells>
  <x:conditionalFormatting sqref="M5:M12">
    <x:cfRule type="colorScale" priority="1">
      <x:colorScale>
        <x:cfvo type="min"/>
        <x:cfvo type="percentile" val="50"/>
        <x:cfvo type="max"/>
        <x:color rgb="FFFDECEC"/>
        <x:color rgb="FFFFF7E6"/>
        <x:color rgb="FFECFDF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39fed1370d34b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30" hidden="0" customWidth="1"/>
    <x:col min="3" max="3" width="33.33000183105469" hidden="0" customWidth="1"/>
    <x:col min="4" max="4" width="26.670000076293945" hidden="0" customWidth="1"/>
    <x:col min="5" max="5" width="24.440000534057617" hidden="0" customWidth="1"/>
    <x:col min="6" max="6" width="27.780000686645508" hidden="0" customWidth="1"/>
    <x:col min="7" max="7" width="34.439998626708984" hidden="0" customWidth="1"/>
    <x:col min="8" max="8" width="33.33000183105469" hidden="0" customWidth="1"/>
  </x:cols>
  <x:sheetData>
    <x:row r="1" ht="28.5" customHeight="1">
      <x:c r="A1" s="129" t="str">
        <x:v>小说工作负载 × 模型路线</x:v>
      </x:c>
      <x:c r="B1" s="129"/>
      <x:c r="C1" s="129"/>
      <x:c r="D1" s="129"/>
      <x:c r="E1" s="129"/>
      <x:c r="F1" s="129"/>
      <x:c r="G1" s="129"/>
      <x:c r="H1" s="129"/>
    </x:row>
    <x:row r="2" ht="25.5" customHeight="1">
      <x:c r="A2" s="130" t="str">
        <x:v>DeepSeek V4 Flash 可以是优秀建议模型的候选，但当前项目既未正确控制 effort，也没有 fiction eval，因此不能把“优秀”写成已证实结论。</x:v>
      </x:c>
      <x:c r="B2" s="130"/>
      <x:c r="C2" s="130"/>
      <x:c r="D2" s="130"/>
      <x:c r="E2" s="130"/>
      <x:c r="F2" s="130"/>
      <x:c r="G2" s="130"/>
      <x:c r="H2" s="130"/>
    </x:row>
    <x:row r="3">
      <x:c r="A3" s="131"/>
      <x:c r="B3" s="131"/>
      <x:c r="C3" s="131"/>
      <x:c r="D3" s="131"/>
      <x:c r="E3" s="131"/>
      <x:c r="F3" s="131"/>
      <x:c r="G3" s="131"/>
      <x:c r="H3" s="131"/>
    </x:row>
    <x:row r="4" ht="25.5" customHeight="1">
      <x:c r="A4" s="168" t="str">
        <x:v>工作负载</x:v>
      </x:c>
      <x:c r="B4" s="169" t="str">
        <x:v>当前路线</x:v>
      </x:c>
      <x:c r="C4" s="169" t="str">
        <x:v>当前风险</x:v>
      </x:c>
      <x:c r="D4" s="169" t="str">
        <x:v>推荐基线</x:v>
      </x:c>
      <x:c r="E4" s="169" t="str">
        <x:v>effort 策略</x:v>
      </x:c>
      <x:c r="F4" s="169" t="str">
        <x:v>跨族 A/B</x:v>
      </x:c>
      <x:c r="G4" s="169" t="str">
        <x:v>必须记录的指标</x:v>
      </x:c>
      <x:c r="H4" s="170" t="str">
        <x:v>最小工程动作</x:v>
      </x:c>
    </x:row>
    <x:row r="5" ht="54" customHeight="1">
      <x:c r="A5" s="171" t="str">
        <x:v>DSH 编排脑/工具代理</x:v>
      </x:c>
      <x:c r="B5" s="172" t="str">
        <x:v>文档声称 V4 Flash high；由宿主会话选择</x:v>
      </x:c>
      <x:c r="C5" s="172" t="str">
        <x:v>会话层可 high/max，但不由 NovelCraft 配置</x:v>
      </x:c>
      <x:c r="D5" s="172" t="str">
        <x:v>deepseek-v4-flash / high</x:v>
      </x:c>
      <x:c r="E5" s="172" t="str">
        <x:v>max 仅复杂审计/失败复盘</x:v>
      </x:c>
      <x:c r="F5" s="172" t="str">
        <x:v>Gemini 3.7 Flash medium；GPT-5.6 Terra medium</x:v>
      </x:c>
      <x:c r="G5" s="172" t="str">
        <x:v>任务成功率、工具循环、证据完整、总 token/延迟</x:v>
      </x:c>
      <x:c r="H5" s="174" t="str">
        <x:v>保持宿主原生模型切换，不复制设置页</x:v>
      </x:c>
    </x:row>
    <x:row r="6" ht="54" customHeight="1">
      <x:c r="A6" s="175" t="str">
        <x:v>结构化抽取</x:v>
      </x:c>
      <x:c r="B6" s="176" t="str">
        <x:v>内容手 preset import-day=V4 Flash + temperature 0.2</x:v>
      </x:c>
      <x:c r="C6" s="176" t="str">
        <x:v>thinking 默认 high 时 temperature 无效</x:v>
      </x:c>
      <x:c r="D6" s="176" t="str">
        <x:v>V4 Flash low 或关闭 thinking 后显式采样</x:v>
      </x:c>
      <x:c r="E6" s="176" t="str">
        <x:v>先比较 low/high，不假定 high 总更好</x:v>
      </x:c>
      <x:c r="F6" s="176" t="str">
        <x:v>Qwen3.7 Plus；Gemini 3.7 Flash</x:v>
      </x:c>
      <x:c r="G6" s="176" t="str">
        <x:v>Schema pass、漏抽/错抽、来源覆盖、成本</x:v>
      </x:c>
      <x:c r="H6" s="178" t="str">
        <x:v>先补 effort/think toggle capability</x:v>
      </x:c>
    </x:row>
    <x:row r="7" ht="54" customHeight="1">
      <x:c r="A7" s="175" t="str">
        <x:v>深导 structure_analysis</x:v>
      </x:c>
      <x:c r="B7" s="176" t="str">
        <x:v>默认 deepseek-chat；实际输入为空泛一句</x:v>
      </x:c>
      <x:c r="C7" s="176" t="str">
        <x:v>模型再强也无法弥补缺数据</x:v>
      </x:c>
      <x:c r="D7" s="176" t="str">
        <x:v>先修上下文，再用 V4 Flash high</x:v>
      </x:c>
      <x:c r="E7" s="176" t="str">
        <x:v>max 用于失败样本复盘</x:v>
      </x:c>
      <x:c r="F7" s="176" t="str">
        <x:v>GPT-5.6 Terra high；Claude Sonnet 5</x:v>
      </x:c>
      <x:c r="G7" s="176" t="str">
        <x:v>结构引用准确、Scene 覆盖、无凭空线索</x:v>
      </x:c>
      <x:c r="H7" s="178" t="str">
        <x:v>P0：数据问题优先于换模型</x:v>
      </x:c>
    </x:row>
    <x:row r="8" ht="54" customHeight="1">
      <x:c r="A8" s="175" t="str">
        <x:v>总纲/P20/世界规划</x:v>
      </x:c>
      <x:c r="B8" s="176" t="str">
        <x:v>自由 input→内容手</x:v>
      </x:c>
      <x:c r="C8" s="176" t="str">
        <x:v>无 source manifest；不可复查</x:v>
      </x:c>
      <x:c r="D8" s="176" t="str">
        <x:v>V4 Flash high 作为成本基线</x:v>
      </x:c>
      <x:c r="E8" s="176" t="str">
        <x:v>max 只对最终大纲审计</x:v>
      </x:c>
      <x:c r="F8" s="176" t="str">
        <x:v>Claude Sonnet 5；GPT-5.6 Terra</x:v>
      </x:c>
      <x:c r="G8" s="176" t="str">
        <x:v>因果链、作者意图、世界规则、引用正确</x:v>
      </x:c>
      <x:c r="H8" s="178" t="str">
        <x:v>先冻结证据快照</x:v>
      </x:c>
    </x:row>
    <x:row r="9" ht="54" customHeight="1">
      <x:c r="A9" s="175" t="str">
        <x:v>正文候选</x:v>
      </x:c>
      <x:c r="B9" s="176" t="str">
        <x:v>writing-day=V4 Pro + temperature 0.7</x:v>
      </x:c>
      <x:c r="C9" s="176" t="str">
        <x:v>V4 thinking 默认开启时 temperature 0.7 无效</x:v>
      </x:c>
      <x:c r="D9" s="176" t="str">
        <x:v>V4 Pro：A/B thinking disabled vs high</x:v>
      </x:c>
      <x:c r="E9" s="176" t="str">
        <x:v>高 effort 不等于更好文风</x:v>
      </x:c>
      <x:c r="F9" s="176" t="str">
        <x:v>Claude Sonnet 5；Qwen3.7 Plus；GPT-5.6 Terra</x:v>
      </x:c>
      <x:c r="G9" s="176" t="str">
        <x:v>作者盲选、人物声音、连续性、可修改性、成本</x:v>
      </x:c>
      <x:c r="H9" s="178" t="str">
        <x:v>不要凭官方 agent benchmark 推断文学质量</x:v>
      </x:c>
    </x:row>
    <x:row r="10" ht="54" customHeight="1">
      <x:c r="A10" s="175" t="str">
        <x:v>语义审查</x:v>
      </x:c>
      <x:c r="B10" s="176" t="str">
        <x:v>V4 Pro polish / semantic_review temp 0.1</x:v>
      </x:c>
      <x:c r="C10" s="176" t="str">
        <x:v>缺确认上下文；低温在 thinking 下无效</x:v>
      </x:c>
      <x:c r="D10" s="176" t="str">
        <x:v>V4 Flash high；难例 max</x:v>
      </x:c>
      <x:c r="E10" s="176" t="str">
        <x:v>对 false positive 建负样本</x:v>
      </x:c>
      <x:c r="F10" s="176" t="str">
        <x:v>GPT-5.6 Sol；Claude Opus 5</x:v>
      </x:c>
      <x:c r="G10" s="176" t="str">
        <x:v>召回、误报、证据定位、建议可执行</x:v>
      </x:c>
      <x:c r="H10" s="178" t="str">
        <x:v>先绑定 review snapshot</x:v>
      </x:c>
    </x:row>
    <x:row r="11" ht="54" customHeight="1">
      <x:c r="A11" s="175" t="str">
        <x:v>定向返修</x:v>
      </x:c>
      <x:c r="B11" s="176" t="str">
        <x:v>V4 Pro polish</x:v>
      </x:c>
      <x:c r="C11" s="176" t="str">
        <x:v>模型看正文+finding，局部上下文尚可</x:v>
      </x:c>
      <x:c r="D11" s="176" t="str">
        <x:v>V4 Pro high 或 non-thinking A/B</x:v>
      </x:c>
      <x:c r="E11" s="176" t="str">
        <x:v>保持候选态</x:v>
      </x:c>
      <x:c r="F11" s="176" t="str">
        <x:v>Claude Sonnet 5；GPT-5.6 Terra</x:v>
      </x:c>
      <x:c r="G11" s="176" t="str">
        <x:v>finding 解决率、无旁损、风格保持</x:v>
      </x:c>
      <x:c r="H11" s="178" t="str">
        <x:v>现有 step-local 输入可保留</x:v>
      </x:c>
    </x:row>
    <x:row r="12" ht="54" customHeight="1">
      <x:c r="A12" s="175" t="str">
        <x:v>RAG rerank</x:v>
      </x:c>
      <x:c r="B12" s="176" t="str">
        <x:v>内容手一次 LLM 重排</x:v>
      </x:c>
      <x:c r="C12" s="176" t="str">
        <x:v>无真实 hard-negative 基线</x:v>
      </x:c>
      <x:c r="D12" s="176" t="str">
        <x:v>V4 Flash low 作为低成本基线</x:v>
      </x:c>
      <x:c r="E12" s="176" t="str">
        <x:v>失败继续 BM25</x:v>
      </x:c>
      <x:c r="F12" s="176" t="str">
        <x:v>Gemini 3.7 Flash low；Qwen3.7 Plus</x:v>
      </x:c>
      <x:c r="G12" s="176" t="str">
        <x:v>P@5、MRR、no-answer、延迟、降级率</x:v>
      </x:c>
      <x:c r="H12" s="178" t="str">
        <x:v>先评测再默认启用 L2</x:v>
      </x:c>
    </x:row>
    <x:row r="13" ht="54" customHeight="1">
      <x:c r="A13" s="179" t="str">
        <x:v>地图册规划</x:v>
      </x:c>
      <x:c r="B13" s="180" t="str">
        <x:v>Atlas context + V4 内容手</x:v>
      </x:c>
      <x:c r="C13" s="180" t="str">
        <x:v>证据合同强，最适合模型 A/B</x:v>
      </x:c>
      <x:c r="D13" s="180" t="str">
        <x:v>V4 Flash high</x:v>
      </x:c>
      <x:c r="E13" s="180" t="str">
        <x:v>max 只对复杂层级</x:v>
      </x:c>
      <x:c r="F13" s="180" t="str">
        <x:v>Gemini 3.7 Flash high</x:v>
      </x:c>
      <x:c r="G13" s="180" t="str">
        <x:v>来源闭包、空间约束、层级正确、可采用率</x:v>
      </x:c>
      <x:c r="H13" s="182" t="str">
        <x:v>作为 context 改造参考样本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8d2b58f5ec042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0" hidden="0" customWidth="1"/>
    <x:col min="3" max="3" width="33.33000183105469" hidden="0" customWidth="1"/>
    <x:col min="4" max="4" width="33.33000183105469" hidden="0" customWidth="1"/>
    <x:col min="5" max="5" width="33.33000183105469" hidden="0" customWidth="1"/>
    <x:col min="6" max="6" width="26.670000076293945" hidden="0" customWidth="1"/>
    <x:col min="7" max="7" width="33.33000183105469" hidden="0" customWidth="1"/>
    <x:col min="8" max="8" width="11.109999656677246" hidden="0" customWidth="1"/>
  </x:cols>
  <x:sheetData>
    <x:row r="1" ht="28.5" customHeight="1">
      <x:c r="A1" s="129" t="str">
        <x:v>真实模型质量评测计划</x:v>
      </x:c>
      <x:c r="B1" s="129"/>
      <x:c r="C1" s="129"/>
      <x:c r="D1" s="129"/>
      <x:c r="E1" s="129"/>
      <x:c r="F1" s="129"/>
      <x:c r="G1" s="129"/>
      <x:c r="H1" s="129"/>
    </x:row>
    <x:row r="2" ht="25.5" customHeight="1">
      <x:c r="A2" s="130" t="str">
        <x:v>不运行付费 API；本 Sheet 是下一轮可执行验收设计。所有阈值/样本数均为待作者确认的建议输入。</x:v>
      </x:c>
      <x:c r="B2" s="130"/>
      <x:c r="C2" s="130"/>
      <x:c r="D2" s="130"/>
      <x:c r="E2" s="130"/>
      <x:c r="F2" s="130"/>
      <x:c r="G2" s="130"/>
      <x:c r="H2" s="130"/>
    </x:row>
    <x:row r="3">
      <x:c r="A3" s="131"/>
      <x:c r="B3" s="131"/>
      <x:c r="C3" s="131"/>
      <x:c r="D3" s="131"/>
      <x:c r="E3" s="131"/>
      <x:c r="F3" s="131"/>
      <x:c r="G3" s="131"/>
      <x:c r="H3" s="131"/>
    </x:row>
    <x:row r="4" ht="25.5" customHeight="1">
      <x:c r="A4" s="168" t="str">
        <x:v>任务</x:v>
      </x:c>
      <x:c r="B4" s="169" t="str">
        <x:v>建议样本数</x:v>
      </x:c>
      <x:c r="C4" s="169" t="str">
        <x:v>Fixture</x:v>
      </x:c>
      <x:c r="D4" s="169" t="str">
        <x:v>人工 Rubric</x:v>
      </x:c>
      <x:c r="E4" s="169" t="str">
        <x:v>确定性检查</x:v>
      </x:c>
      <x:c r="F4" s="169" t="str">
        <x:v>作者/编辑检查</x:v>
      </x:c>
      <x:c r="G4" s="169" t="str">
        <x:v>比较配置</x:v>
      </x:c>
      <x:c r="H4" s="170" t="str">
        <x:v>当前状态</x:v>
      </x:c>
    </x:row>
    <x:row r="5" ht="52.5" customHeight="1">
      <x:c r="A5" s="171" t="str">
        <x:v>下一章提案</x:v>
      </x:c>
      <x:c r="B5" s="172" t="n">
        <x:v>12</x:v>
      </x:c>
      <x:c r="C5" s="172" t="str">
        <x:v>总纲+2 条剧情线+章尾+冲突伏笔</x:v>
      </x:c>
      <x:c r="D5" s="172" t="str">
        <x:v>方向差异/依据准确/风险诚实/可写性</x:v>
      </x:c>
      <x:c r="E5" s="172" t="str">
        <x:v>2–3 条、字段齐、无未来章来源</x:v>
      </x:c>
      <x:c r="F5" s="172" t="str">
        <x:v>作者盲选率、修改幅度</x:v>
      </x:c>
      <x:c r="G5" s="172" t="str">
        <x:v>V4 Flash low/high/max；V4 Pro high；跨族 1 个</x:v>
      </x:c>
      <x:c r="H5" s="174" t="str">
        <x:v>未执行</x:v>
      </x:c>
    </x:row>
    <x:row r="6" ht="52.5" customHeight="1">
      <x:c r="A6" s="175" t="str">
        <x:v>正文候选</x:v>
      </x:c>
      <x:c r="B6" s="176" t="n">
        <x:v>10</x:v>
      </x:c>
      <x:c r="C6" s="176" t="str">
        <x:v>不同题材/POV/对话/动作/转折</x:v>
      </x:c>
      <x:c r="D6" s="176" t="str">
        <x:v>人物声音/节奏/连续性/文学质量/可改性</x:v>
      </x:c>
      <x:c r="E6" s="176" t="str">
        <x:v>candidate-only、无新长期正史、字数范围</x:v>
      </x:c>
      <x:c r="F6" s="176" t="str">
        <x:v>双盲偏好+旁损标注</x:v>
      </x:c>
      <x:c r="G6" s="176" t="str">
        <x:v>V4 Pro high/disabled；Sonnet 5；Qwen3.7 Plus</x:v>
      </x:c>
      <x:c r="H6" s="178" t="str">
        <x:v>未执行</x:v>
      </x:c>
    </x:row>
    <x:row r="7" ht="52.5" customHeight="1">
      <x:c r="A7" s="175" t="str">
        <x:v>语义审查</x:v>
      </x:c>
      <x:c r="B7" s="176" t="n">
        <x:v>20</x:v>
      </x:c>
      <x:c r="C7" s="176" t="str">
        <x:v>真问题+无问题 hard negatives</x:v>
      </x:c>
      <x:c r="D7" s="176" t="str">
        <x:v>发现率/误报/证据定位/建议可执行</x:v>
      </x:c>
      <x:c r="E7" s="176" t="str">
        <x:v>finding schema、quote 可定位、版本 hash 一致</x:v>
      </x:c>
      <x:c r="F7" s="176" t="str">
        <x:v>precision/recall 与作者接受率</x:v>
      </x:c>
      <x:c r="G7" s="176" t="str">
        <x:v>V4 Flash high/max；GPT-5.6 Sol；Opus 5</x:v>
      </x:c>
      <x:c r="H7" s="178" t="str">
        <x:v>未执行</x:v>
      </x:c>
    </x:row>
    <x:row r="8" ht="52.5" customHeight="1">
      <x:c r="A8" s="175" t="str">
        <x:v>定向返修</x:v>
      </x:c>
      <x:c r="B8" s="176" t="n">
        <x:v>15</x:v>
      </x:c>
      <x:c r="C8" s="176" t="str">
        <x:v>单 finding、多 finding、相互冲突 finding</x:v>
      </x:c>
      <x:c r="D8" s="176" t="str">
        <x:v>解决率/无旁损/风格保持</x:v>
      </x:c>
      <x:c r="E8" s="176" t="str">
        <x:v>只产候选、base hash 锁定</x:v>
      </x:c>
      <x:c r="F8" s="176" t="str">
        <x:v>diff 审阅与偏好</x:v>
      </x:c>
      <x:c r="G8" s="176" t="str">
        <x:v>V4 Pro；Sonnet 5；Terra</x:v>
      </x:c>
      <x:c r="H8" s="178" t="str">
        <x:v>未执行</x:v>
      </x:c>
    </x:row>
    <x:row r="9" ht="52.5" customHeight="1">
      <x:c r="A9" s="175" t="str">
        <x:v>Scene 切分</x:v>
      </x:c>
      <x:c r="B9" s="176" t="n">
        <x:v>15</x:v>
      </x:c>
      <x:c r="C9" s="176" t="str">
        <x:v>跨章、空冲突、嵌套回忆、并行线</x:v>
      </x:c>
      <x:c r="D9" s="176" t="str">
        <x:v>边界/覆盖/因果单元</x:v>
      </x:c>
      <x:c r="E9" s="176" t="str">
        <x:v>无空洞/重叠、anchor 可定位</x:v>
      </x:c>
      <x:c r="F9" s="176" t="str">
        <x:v>人工 Scene gold 对齐</x:v>
      </x:c>
      <x:c r="G9" s="176" t="str">
        <x:v>V4 Flash low/high；Qwen3.7 Plus</x:v>
      </x:c>
      <x:c r="H9" s="178" t="str">
        <x:v>未执行</x:v>
      </x:c>
    </x:row>
    <x:row r="10" ht="52.5" customHeight="1">
      <x:c r="A10" s="175" t="str">
        <x:v>实体/别名关系</x:v>
      </x:c>
      <x:c r="B10" s="176" t="n">
        <x:v>20</x:v>
      </x:c>
      <x:c r="C10" s="176" t="str">
        <x:v>同名异人、化名、误导叙述、关系变化</x:v>
      </x:c>
      <x:c r="D10" s="176" t="str">
        <x:v>精确率/召回/可追溯</x:v>
      </x:c>
      <x:c r="E10" s="176" t="str">
        <x:v>来源 Scene ref、schema、可逆</x:v>
      </x:c>
      <x:c r="F10" s="176" t="str">
        <x:v>逐项核对</x:v>
      </x:c>
      <x:c r="G10" s="176" t="str">
        <x:v>V4 Flash low/high；Gemini 3.7</x:v>
      </x:c>
      <x:c r="H10" s="178" t="str">
        <x:v>未执行</x:v>
      </x:c>
    </x:row>
    <x:row r="11" ht="52.5" customHeight="1">
      <x:c r="A11" s="175" t="str">
        <x:v>结构分析</x:v>
      </x:c>
      <x:c r="B11" s="176" t="n">
        <x:v>12</x:v>
      </x:c>
      <x:c r="C11" s="176" t="str">
        <x:v>已知 threads/arcs/reveals 的小型整书</x:v>
      </x:c>
      <x:c r="D11" s="176" t="str">
        <x:v>结构召回/错误关联/证据</x:v>
      </x:c>
      <x:c r="E11" s="176" t="str">
        <x:v>每个结果引用 Scene/章节</x:v>
      </x:c>
      <x:c r="F11" s="176" t="str">
        <x:v>作者/编辑双审</x:v>
      </x:c>
      <x:c r="G11" s="176" t="str">
        <x:v>修上下文前后 × V4 Flash high</x:v>
      </x:c>
      <x:c r="H11" s="178" t="str">
        <x:v>未执行</x:v>
      </x:c>
    </x:row>
    <x:row r="12" ht="52.5" customHeight="1">
      <x:c r="A12" s="175" t="str">
        <x:v>总纲/P20</x:v>
      </x:c>
      <x:c r="B12" s="176" t="n">
        <x:v>10</x:v>
      </x:c>
      <x:c r="C12" s="176" t="str">
        <x:v>同一世界+不同作者意图</x:v>
      </x:c>
      <x:c r="D12" s="176" t="str">
        <x:v>因果链/主题/可执行性/忠实度</x:v>
      </x:c>
      <x:c r="E12" s="176" t="str">
        <x:v>preview-only、无越层字段</x:v>
      </x:c>
      <x:c r="F12" s="176" t="str">
        <x:v>双盲排序</x:v>
      </x:c>
      <x:c r="G12" s="176" t="str">
        <x:v>V4 Flash high；Sonnet 5；Terra</x:v>
      </x:c>
      <x:c r="H12" s="178" t="str">
        <x:v>未执行</x:v>
      </x:c>
    </x:row>
    <x:row r="13" ht="52.5" customHeight="1">
      <x:c r="A13" s="175" t="str">
        <x:v>世界书建议</x:v>
      </x:c>
      <x:c r="B13" s="176" t="n">
        <x:v>10</x:v>
      </x:c>
      <x:c r="C13" s="176" t="str">
        <x:v>已有页修订+新页+冲突设定</x:v>
      </x:c>
      <x:c r="D13" s="176" t="str">
        <x:v>规则后果/独特性/不矛盾</x:v>
      </x:c>
      <x:c r="E13" s="176" t="str">
        <x:v>source manifest、draft-only</x:v>
      </x:c>
      <x:c r="F13" s="176" t="str">
        <x:v>作者采用/修改/拒绝</x:v>
      </x:c>
      <x:c r="G13" s="176" t="str">
        <x:v>V4 Flash high；Qwen3.7；Sonnet 5</x:v>
      </x:c>
      <x:c r="H13" s="178" t="str">
        <x:v>未执行</x:v>
      </x:c>
    </x:row>
    <x:row r="14" ht="52.5" customHeight="1">
      <x:c r="A14" s="175" t="str">
        <x:v>RAG rerank</x:v>
      </x:c>
      <x:c r="B14" s="176" t="n">
        <x:v>50</x:v>
      </x:c>
      <x:c r="C14" s="176" t="str">
        <x:v>exact hit、近义、强干扰、无答案</x:v>
      </x:c>
      <x:c r="D14" s="176" t="str">
        <x:v>P@5/MRR/no-answer/leakage</x:v>
      </x:c>
      <x:c r="E14" s="176" t="str">
        <x:v>current hash、visibility、open target</x:v>
      </x:c>
      <x:c r="F14" s="176" t="str">
        <x:v>抽样复核</x:v>
      </x:c>
      <x:c r="G14" s="176" t="str">
        <x:v>BM25 vs V4 Flash low vs BGE+rerank</x:v>
      </x:c>
      <x:c r="H14" s="178" t="str">
        <x:v>未执行</x:v>
      </x:c>
    </x:row>
    <x:row r="15" ht="52.5" customHeight="1">
      <x:c r="A15" s="175" t="str">
        <x:v>Atlas 规划</x:v>
      </x:c>
      <x:c r="B15" s="176" t="n">
        <x:v>8</x:v>
      </x:c>
      <x:c r="C15" s="176" t="str">
        <x:v>地点层级/矛盾距离/证据不足</x:v>
      </x:c>
      <x:c r="D15" s="176" t="str">
        <x:v>空间约束/来源闭包/层级</x:v>
      </x:c>
      <x:c r="E15" s="176" t="str">
        <x:v>未知来源零采用、hash 可复现</x:v>
      </x:c>
      <x:c r="F15" s="176" t="str">
        <x:v>地图审阅</x:v>
      </x:c>
      <x:c r="G15" s="176" t="str">
        <x:v>V4 Flash high；Gemini 3.7 high</x:v>
      </x:c>
      <x:c r="H15" s="178" t="str">
        <x:v>未执行</x:v>
      </x:c>
    </x:row>
    <x:row r="16" ht="52.5" customHeight="1">
      <x:c r="A16" s="179" t="str">
        <x:v>模型路由兼容</x:v>
      </x:c>
      <x:c r="B16" s="180" t="n">
        <x:v>8</x:v>
      </x:c>
      <x:c r="C16" s="180" t="str">
        <x:v>每家模型最小真实请求</x:v>
      </x:c>
      <x:c r="D16" s="180" t="str">
        <x:v>参数生效/错误可解释/回执完整</x:v>
      </x:c>
      <x:c r="E16" s="180" t="str">
        <x:v>effective model/effort/sampling receipt</x:v>
      </x:c>
      <x:c r="F16" s="180" t="str">
        <x:v>无</x:v>
      </x:c>
      <x:c r="G16" s="180" t="str">
        <x:v>DeepSeek/OpenAI/Claude/Gemini/Qwen</x:v>
      </x:c>
      <x:c r="H16" s="182" t="str">
        <x:v>未执行</x:v>
      </x:c>
    </x:row>
  </x:sheetData>
  <x:mergeCells>
    <x:mergeCell ref="A1:H1"/>
    <x:mergeCell ref="A2:H2"/>
  </x:mergeCells>
  <x:dataValidations count="1">
    <x:dataValidation type="list" sqref="H5:H16">
      <x:formula1>"未执行,进行中,完成"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7cc7db3c9447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5.559999465942383" hidden="0" customWidth="1"/>
    <x:col min="3" max="3" width="36.66999816894531" hidden="0" customWidth="1"/>
    <x:col min="4" max="4" width="27.780000686645508" hidden="0" customWidth="1"/>
    <x:col min="5" max="5" width="36.66999816894531" hidden="0" customWidth="1"/>
    <x:col min="6" max="6" width="36.66999816894531" hidden="0" customWidth="1"/>
    <x:col min="7" max="7" width="21.110000610351562" hidden="0" customWidth="1"/>
    <x:col min="8" max="8" width="7.78000020980835" hidden="0" customWidth="1"/>
    <x:col min="9" max="9" width="18.889999389648438" hidden="0" customWidth="1"/>
  </x:cols>
  <x:sheetData>
    <x:row r="1" ht="28.5" customHeight="1">
      <x:c r="A1" s="129" t="str">
        <x:v>P0 / P1 / P2 改进路线</x:v>
      </x:c>
      <x:c r="B1" s="129"/>
      <x:c r="C1" s="129"/>
      <x:c r="D1" s="129"/>
      <x:c r="E1" s="129"/>
      <x:c r="F1" s="129"/>
      <x:c r="G1" s="129"/>
      <x:c r="H1" s="129"/>
      <x:c r="I1" s="129"/>
    </x:row>
    <x:row r="2" ht="25.5" customHeight="1">
      <x:c r="A2" s="130" t="str">
        <x:v>按用户效果与风险排序；每项给出最小落点和验收，避免新数据库、新队列或第二套上下文框架。</x:v>
      </x:c>
      <x:c r="B2" s="130"/>
      <x:c r="C2" s="130"/>
      <x:c r="D2" s="130"/>
      <x:c r="E2" s="130"/>
      <x:c r="F2" s="130"/>
      <x:c r="G2" s="130"/>
      <x:c r="H2" s="130"/>
      <x:c r="I2" s="130"/>
    </x:row>
    <x:row r="3">
      <x:c r="A3" s="131"/>
      <x:c r="B3" s="131"/>
      <x:c r="C3" s="131"/>
      <x:c r="D3" s="131"/>
      <x:c r="E3" s="131"/>
      <x:c r="F3" s="131"/>
      <x:c r="G3" s="131"/>
      <x:c r="H3" s="131"/>
      <x:c r="I3" s="131"/>
    </x:row>
    <x:row r="4" ht="25.5" customHeight="1">
      <x:c r="A4" s="168" t="str">
        <x:v>优先级</x:v>
      </x:c>
      <x:c r="B4" s="169" t="str">
        <x:v>问题</x:v>
      </x:c>
      <x:c r="C4" s="169" t="str">
        <x:v>证据</x:v>
      </x:c>
      <x:c r="D4" s="169" t="str">
        <x:v>用户影响</x:v>
      </x:c>
      <x:c r="E4" s="169" t="str">
        <x:v>最小方案</x:v>
      </x:c>
      <x:c r="F4" s="169" t="str">
        <x:v>验收标准</x:v>
      </x:c>
      <x:c r="G4" s="169" t="str">
        <x:v>落点</x:v>
      </x:c>
      <x:c r="H4" s="169" t="str">
        <x:v>规模</x:v>
      </x:c>
      <x:c r="I4" s="170" t="str">
        <x:v>依赖</x:v>
      </x:c>
    </x:row>
    <x:row r="5" ht="57" customHeight="1">
      <x:c r="A5" s="171" t="str">
        <x:v>P0</x:v>
      </x:c>
      <x:c r="B5" s="172" t="str">
        <x:v>默认模型 route 已退役</x:v>
      </x:c>
      <x:c r="C5" s="172" t="str">
        <x:v>config.ts/starter patch 默认 deepseek-chat；官方 2026-07-24 退役</x:v>
      </x:c>
      <x:c r="D5" s="172" t="str">
        <x:v>默认内容手可能直接不可用</x:v>
      </x:c>
      <x:c r="E5" s="172" t="str">
        <x:v>把最低层默认改为 deepseek-v4-flash；迁移文案只保留兼容诊断</x:v>
      </x:c>
      <x:c r="F5" s="172" t="str">
        <x:v>新 Vault/无 llm.yml 可真实调用；回执 model=v4-flash</x:v>
      </x:c>
      <x:c r="G5" s="172" t="str">
        <x:v>dsh/config.ts + starter</x:v>
      </x:c>
      <x:c r="H5" s="172" t="str">
        <x:v>S</x:v>
      </x:c>
      <x:c r="I5" s="174" t="str">
        <x:v>无</x:v>
      </x:c>
    </x:row>
    <x:row r="6" ht="57" customHeight="1">
      <x:c r="A6" s="175" t="str">
        <x:v>P0</x:v>
      </x:c>
      <x:c r="B6" s="176" t="str">
        <x:v>reasoning effort/think toggle 不透传</x:v>
      </x:c>
      <x:c r="C6" s="176" t="str">
        <x:v>DSH GenerateOptions 有 reasoningEffort；DshProvider 未写该字段</x:v>
      </x:c>
      <x:c r="D6" s="176" t="str">
        <x:v>无法 low/high/max；采样参数在 thinking 下被静默忽略</x:v>
      </x:c>
      <x:c r="E6" s="176" t="str">
        <x:v>ExecutionProfile 加 reasoningEffort/think mode 白名单并透传；按模型 capability 过滤温度</x:v>
      </x:c>
      <x:c r="F6" s="176" t="str">
        <x:v>DeepSeek low/high/max 生效回执；Claude/Gemini 不发非法采样参数</x:v>
      </x:c>
      <x:c r="G6" s="176" t="str">
        <x:v>llm-step + dsh/provider</x:v>
      </x:c>
      <x:c r="H6" s="176" t="str">
        <x:v>M</x:v>
      </x:c>
      <x:c r="I6" s="178" t="str">
        <x:v>默认 route</x:v>
      </x:c>
    </x:row>
    <x:row r="7" ht="57" customHeight="1">
      <x:c r="A7" s="175" t="str">
        <x:v>P0</x:v>
      </x:c>
      <x:c r="B7" s="176" t="str">
        <x:v>深导结构阶段无真实上下文</x:v>
      </x:c>
      <x:c r="C7" s="176" t="str">
        <x:v>orchestrate.ts:417 未传；structure.ts:149 通用一句</x:v>
      </x:c>
      <x:c r="D7" s="176" t="str">
        <x:v>输出质量无事实基础</x:v>
      </x:c>
      <x:c r="E7" s="176" t="str">
        <x:v>从现有 Scene/对象/章节构造有界 manifest，传 opts.context</x:v>
      </x:c>
      <x:c r="F7" s="176" t="str">
        <x:v>Provider 请求包含 refs/hash；gold fixture 结构引用准确</x:v>
      </x:c>
      <x:c r="G7" s="176" t="str">
        <x:v>imports</x:v>
      </x:c>
      <x:c r="H7" s="176" t="str">
        <x:v>S</x:v>
      </x:c>
      <x:c r="I7" s="178" t="str">
        <x:v>无</x:v>
      </x:c>
    </x:row>
    <x:row r="8" ht="57" customHeight="1">
      <x:c r="A8" s="175" t="str">
        <x:v>P0</x:v>
      </x:c>
      <x:c r="B8" s="176" t="str">
        <x:v>provider 列表 wire 漂移</x:v>
      </x:c>
      <x:c r="C8" s="176" t="str">
        <x:v>client rpc 把 LlmProviderInfo[] 当 string[]；测试 fake 返回字符串</x:v>
      </x:c>
      <x:c r="D8" s="176" t="str">
        <x:v>预设面 route readiness 显示错误</x:v>
      </x:c>
      <x:c r="E8" s="176" t="str">
        <x:v>map(p=&gt;p.id)，测试使用真实对象形状</x:v>
      </x:c>
      <x:c r="F8" s="176" t="str">
        <x:v>rpc test 锁 rc.8 shape；UI 显示字符串 ID</x:v>
      </x:c>
      <x:c r="G8" s="176" t="str">
        <x:v>client</x:v>
      </x:c>
      <x:c r="H8" s="176" t="str">
        <x:v>S</x:v>
      </x:c>
      <x:c r="I8" s="178" t="str">
        <x:v>无</x:v>
      </x:c>
    </x:row>
    <x:row r="9" ht="57" customHeight="1">
      <x:c r="A9" s="175" t="str">
        <x:v>P0</x:v>
      </x:c>
      <x:c r="B9" s="176" t="str">
        <x:v>Context 只是预算拼串，不是证据合同</x:v>
      </x:c>
      <x:c r="C9" s="176" t="str">
        <x:v>2/29 调用点；P4 缺失；无 manifest/snapshot；预算可越界</x:v>
      </x:c>
      <x:c r="D9" s="176" t="str">
        <x:v>AI 建议不可追溯，模型升级也无从评估</x:v>
      </x:c>
      <x:c r="E9" s="176" t="str">
        <x:v>强化现有 compileContext：hard budget + refs/hash + events + snapshot；接 rag typed hits</x:v>
      </x:c>
      <x:c r="F9" s="176" t="str">
        <x:v>&lt;=budget；每段可重开；propose/generate 回执列来源</x:v>
      </x:c>
      <x:c r="G9" s="176" t="str">
        <x:v>context + writing + rag</x:v>
      </x:c>
      <x:c r="H9" s="176" t="str">
        <x:v>M</x:v>
      </x:c>
      <x:c r="I9" s="178" t="str">
        <x:v>结构上下文可并行</x:v>
      </x:c>
    </x:row>
    <x:row r="10" ht="57" customHeight="1">
      <x:c r="A10" s="175" t="str">
        <x:v>P0</x:v>
      </x:c>
      <x:c r="B10" s="176" t="str">
        <x:v>没有小说任务模型 eval</x:v>
      </x:c>
      <x:c r="C10" s="176" t="str">
        <x:v>测试全为行为契约/FakeProvider；无 real-LLM fiction benchmark</x:v>
      </x:c>
      <x:c r="D10" s="176" t="str">
        <x:v>无法回答“V4 Flash 是否优秀”</x:v>
      </x:c>
      <x:c r="E10" s="176" t="str">
        <x:v>用 07_评测计划的 12 类样本做离线 A/B；不自动写资产</x:v>
      </x:c>
      <x:c r="F10" s="176" t="str">
        <x:v>每配置输出质量/Schema/成本/延迟；作者盲选可复核</x:v>
      </x:c>
      <x:c r="G10" s="176" t="str">
        <x:v>eval assets only</x:v>
      </x:c>
      <x:c r="H10" s="176" t="str">
        <x:v>M</x:v>
      </x:c>
      <x:c r="I10" s="178" t="str">
        <x:v>模型 seam</x:v>
      </x:c>
    </x:row>
    <x:row r="11" ht="57" customHeight="1">
      <x:c r="A11" s="175" t="str">
        <x:v>P1</x:v>
      </x:c>
      <x:c r="B11" s="176" t="str">
        <x:v>RAG freshness/向量身份不可信</x:v>
      </x:c>
      <x:c r="C11" s="176" t="str">
        <x:v>fresh sync 改 mtime；vector model/dim/finite 未统一校验</x:v>
      </x:c>
      <x:c r="D11" s="176" t="str">
        <x:v>检索可能隐藏写或错误排序</x:v>
      </x:c>
      <x:c r="E11" s="176" t="str">
        <x:v>现有索引加 change plan 与私有 validator；错误降 lexical</x:v>
      </x:c>
      <x:c r="F11" s="176" t="str">
        <x:v>fresh 零字节变化；错维/NaN 不进入 vector ranking</x:v>
      </x:c>
      <x:c r="G11" s="176" t="str">
        <x:v>rag</x:v>
      </x:c>
      <x:c r="H11" s="176" t="str">
        <x:v>M</x:v>
      </x:c>
      <x:c r="I11" s="178" t="str">
        <x:v>无</x:v>
      </x:c>
    </x:row>
    <x:row r="12" ht="57" customHeight="1">
      <x:c r="A12" s="175" t="str">
        <x:v>P1</x:v>
      </x:c>
      <x:c r="B12" s="176" t="str">
        <x:v>上下文消费者分裂</x:v>
      </x:c>
      <x:c r="C12" s="176" t="str">
        <x:v>outline/world/imports 自由拼串；Atlas 独立成熟</x:v>
      </x:c>
      <x:c r="D12" s="176" t="str">
        <x:v>重复机制与口径漂移</x:v>
      </x:c>
      <x:c r="E12" s="176" t="str">
        <x:v>复用 manifest/budget 原语；保留 Atlas/phase 领域选择器</x:v>
      </x:c>
      <x:c r="F12" s="176" t="str">
        <x:v>每个生成流声明 context policy；无第二 compiler</x:v>
      </x:c>
      <x:c r="G12" s="176" t="str">
        <x:v>context + domains</x:v>
      </x:c>
      <x:c r="H12" s="176" t="str">
        <x:v>M</x:v>
      </x:c>
      <x:c r="I12" s="178" t="str">
        <x:v>P0 context</x:v>
      </x:c>
    </x:row>
    <x:row r="13" ht="57" customHeight="1">
      <x:c r="A13" s="175" t="str">
        <x:v>P1</x:v>
      </x:c>
      <x:c r="B13" s="176" t="str">
        <x:v>深导仍同步阻塞且无任务卡</x:v>
      </x:c>
      <x:c r="C13" s="176" t="str">
        <x:v>workflow 工具可恢复，但 B3/B4 后置</x:v>
      </x:c>
      <x:c r="D13" s="176" t="str">
        <x:v>作者看不到运行态</x:v>
      </x:c>
      <x:c r="E13" s="176" t="str">
        <x:v>复用 ctx.jobs；client 只读 workflow cards</x:v>
      </x:c>
      <x:c r="F13" s="176" t="str">
        <x:v>启动秒回 run id；离开/返回可 inspect/resume/abandon</x:v>
      </x:c>
      <x:c r="G13" s="176" t="str">
        <x:v>dsh jobs + client</x:v>
      </x:c>
      <x:c r="H13" s="176" t="str">
        <x:v>M</x:v>
      </x:c>
      <x:c r="I13" s="178" t="str">
        <x:v>现有 workflow tools</x:v>
      </x:c>
    </x:row>
    <x:row r="14" ht="57" customHeight="1">
      <x:c r="A14" s="175" t="str">
        <x:v>P1</x:v>
      </x:c>
      <x:c r="B14" s="176" t="str">
        <x:v>Memory/POV 没有生产竖切</x:v>
      </x:c>
      <x:c r="C14" s="176" t="str">
        <x:v>memory 只读投影；writer 回撤</x:v>
      </x:c>
      <x:c r="D14" s="176" t="str">
        <x:v>跨章连续性仍靠 prompt 临时拼装</x:v>
      </x:c>
      <x:c r="E14" s="176" t="str">
        <x:v>显式采用后由受控 workflow 产生事件，再喂下一章提案</x:v>
      </x:c>
      <x:c r="F14" s="176" t="str">
        <x:v>事件有 Scene/来源 hash；同一章重放幂等；proposal 可见</x:v>
      </x:c>
      <x:c r="G14" s="176" t="str">
        <x:v>memory + writing</x:v>
      </x:c>
      <x:c r="H14" s="176" t="str">
        <x:v>M</x:v>
      </x:c>
      <x:c r="I14" s="178" t="str">
        <x:v>P0 context</x:v>
      </x:c>
    </x:row>
    <x:row r="15" ht="57" customHeight="1">
      <x:c r="A15" s="175" t="str">
        <x:v>P1</x:v>
      </x:c>
      <x:c r="B15" s="176" t="str">
        <x:v>作者 UI 覆盖断层</x:v>
      </x:c>
      <x:c r="C15" s="176" t="str">
        <x:v>14 RPC 无 book/workflow/outline/world 工作台</x:v>
      </x:c>
      <x:c r="D15" s="176" t="str">
        <x:v>能力存在但不易完成任务</x:v>
      </x:c>
      <x:c r="E15" s="176" t="str">
        <x:v>先补书库列表、workflow 卡、outline preview、world draft 四个入口</x:v>
      </x:c>
      <x:c r="F15" s="176" t="str">
        <x:v>用户不依赖 raw 工具名完成主任务</x:v>
      </x:c>
      <x:c r="G15" s="176" t="str">
        <x:v>client</x:v>
      </x:c>
      <x:c r="H15" s="176" t="str">
        <x:v>L</x:v>
      </x:c>
      <x:c r="I15" s="178" t="str">
        <x:v>相应 core 已有</x:v>
      </x:c>
    </x:row>
    <x:row r="16" ht="57" customHeight="1">
      <x:c r="A16" s="175" t="str">
        <x:v>P2</x:v>
      </x:c>
      <x:c r="B16" s="176" t="str">
        <x:v>正式发布/导出缺失</x:v>
      </x:c>
      <x:c r="C16" s="176" t="str">
        <x:v>adopt 后仍 draft；无 txt/docx 交付</x:v>
      </x:c>
      <x:c r="D16" s="176" t="str">
        <x:v>无法完成作品交付</x:v>
      </x:c>
      <x:c r="E16" s="176" t="str">
        <x:v>最小 publish receipt + txt/md export</x:v>
      </x:c>
      <x:c r="F16" s="176" t="str">
        <x:v>版本可追溯、失败不改 canonical、导出可重放</x:v>
      </x:c>
      <x:c r="G16" s="176" t="str">
        <x:v>writing/store/client</x:v>
      </x:c>
      <x:c r="H16" s="176" t="str">
        <x:v>M</x:v>
      </x:c>
      <x:c r="I16" s="178" t="str">
        <x:v>主链稳定</x:v>
      </x:c>
    </x:row>
    <x:row r="17" ht="57" customHeight="1">
      <x:c r="A17" s="179" t="str">
        <x:v>P2</x:v>
      </x:c>
      <x:c r="B17" s="180" t="str">
        <x:v>整书迁移无闭包验证</x:v>
      </x:c>
      <x:c r="C17" s="180" t="str">
        <x:v>git clone 漏未跟踪 durable state/图片/会话重绑</x:v>
      </x:c>
      <x:c r="D17" s="180" t="str">
        <x:v>备份承诺不可信</x:v>
      </x:c>
      <x:c r="E17" s="180" t="str">
        <x:v>先做 inspection report，再做 freeze/copy/verify receipt</x:v>
      </x:c>
      <x:c r="F17" s="180" t="str">
        <x:v>清单/哈希/重绑结果可审计</x:v>
      </x:c>
      <x:c r="G17" s="180" t="str">
        <x:v>vault/dsh</x:v>
      </x:c>
      <x:c r="H17" s="180" t="str">
        <x:v>M</x:v>
      </x:c>
      <x:c r="I17" s="182" t="str">
        <x:v>写面收敛</x:v>
      </x:c>
    </x:row>
  </x:sheetData>
  <x:mergeCells>
    <x:mergeCell ref="A1:I1"/>
    <x:mergeCell ref="A2:I2"/>
  </x:mergeCells>
  <x:conditionalFormatting sqref="A5:A17">
    <x:cfRule type="containsText" dxfId="4" priority="1" operator="containsText" text="P0"/>
    <x:cfRule type="containsText" dxfId="5" priority="2" operator="containsText" text="P1"/>
    <x:cfRule type="containsText" dxfId="6" priority="3" operator="containsText" text="P2"/>
  </x:conditionalFormatting>
  <x:dataValidations count="2">
    <x:dataValidation type="list" sqref="A5:A17">
      <x:formula1>"P0,P1,P2"</x:formula1>
    </x:dataValidation>
    <x:dataValidation type="list" sqref="H5:H17">
      <x:formula1>"S,M,L"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11409df14542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0" hidden="0" customWidth="1"/>
    <x:col min="3" max="3" width="28.889999389648438" hidden="0" customWidth="1"/>
    <x:col min="4" max="4" width="44.439998626708984" hidden="0" customWidth="1"/>
    <x:col min="5" max="5" width="17.780000686645508" hidden="0" customWidth="1"/>
    <x:col min="6" max="6" width="11.109999656677246" hidden="0" customWidth="1"/>
    <x:col min="7" max="7" width="51.11000061035156" hidden="0" customWidth="1"/>
  </x:cols>
  <x:sheetData>
    <x:row r="1" ht="28.5" customHeight="1">
      <x:c r="A1" s="129" t="str">
        <x:v>证据索引</x:v>
      </x:c>
      <x:c r="B1" s="129"/>
      <x:c r="C1" s="129"/>
      <x:c r="D1" s="129"/>
      <x:c r="E1" s="129"/>
      <x:c r="F1" s="129"/>
      <x:c r="G1" s="129"/>
    </x:row>
    <x:row r="2" ht="25.5" customHeight="1">
      <x:c r="A2" s="130" t="str">
        <x:v>所有关键结论都能回到当前文件、固定 HEAD CI 或官方页面；外部规格检查日 2026-09-01。</x:v>
      </x:c>
      <x:c r="B2" s="130"/>
      <x:c r="C2" s="130"/>
      <x:c r="D2" s="130"/>
      <x:c r="E2" s="130"/>
      <x:c r="F2" s="130"/>
      <x:c r="G2" s="130"/>
    </x:row>
    <x:row r="3">
      <x:c r="A3" s="131"/>
      <x:c r="B3" s="131"/>
      <x:c r="C3" s="131"/>
      <x:c r="D3" s="131"/>
      <x:c r="E3" s="131"/>
      <x:c r="F3" s="131"/>
      <x:c r="G3" s="131"/>
    </x:row>
    <x:row r="4" ht="25.5" customHeight="1">
      <x:c r="A4" s="168" t="str">
        <x:v>ID</x:v>
      </x:c>
      <x:c r="B4" s="169" t="str">
        <x:v>类型</x:v>
      </x:c>
      <x:c r="C4" s="169" t="str">
        <x:v>来源</x:v>
      </x:c>
      <x:c r="D4" s="169" t="str">
        <x:v>支持的结论</x:v>
      </x:c>
      <x:c r="E4" s="169" t="str">
        <x:v>范围</x:v>
      </x:c>
      <x:c r="F4" s="169" t="str">
        <x:v>核对日</x:v>
      </x:c>
      <x:c r="G4" s="170" t="str">
        <x:v>路径/URL</x:v>
      </x:c>
    </x:row>
    <x:row r="5" ht="43.5" customHeight="1">
      <x:c r="A5" s="171" t="str">
        <x:v>E01</x:v>
      </x:c>
      <x:c r="B5" s="172" t="str">
        <x:v>Git</x:v>
      </x:c>
      <x:c r="C5" s="172" t="str">
        <x:v>HEAD d4d8f4858e103055779057b7d8e23adbb09bf42d</x:v>
      </x:c>
      <x:c r="D5" s="172" t="str">
        <x:v>main 与 origin/main 同步；工作树基线干净</x:v>
      </x:c>
      <x:c r="E5" s="172" t="str">
        <x:v>当前 checkout</x:v>
      </x:c>
      <x:c r="F5" s="172" t="str">
        <x:v>2026-09-01</x:v>
      </x:c>
      <x:c r="G5" s="174" t="str">
        <x:v>git status / git log</x:v>
      </x:c>
    </x:row>
    <x:row r="6" ht="43.5" customHeight="1">
      <x:c r="A6" s="175" t="str">
        <x:v>E02</x:v>
      </x:c>
      <x:c r="B6" s="176" t="str">
        <x:v>CI</x:v>
      </x:c>
      <x:c r="C6" s="176" t="str">
        <x:v>GitHub Actions run 33463544852</x:v>
      </x:c>
      <x:c r="D6" s="176" t="str">
        <x:v>default-profile 与 bge-profile 均 success</x:v>
      </x:c>
      <x:c r="E6" s="176" t="str">
        <x:v>固定 HEAD</x:v>
      </x:c>
      <x:c r="F6" s="176" t="str">
        <x:v>2026-09-01</x:v>
      </x:c>
      <x:c r="G6" s="178" t="str">
        <x:v>https://github.com/FengHuoLinShan/novelAssist-dsh/actions/runs/33463544852</x:v>
      </x:c>
    </x:row>
    <x:row r="7" ht="43.5" customHeight="1">
      <x:c r="A7" s="175" t="str">
        <x:v>E03</x:v>
      </x:c>
      <x:c r="B7" s="176" t="str">
        <x:v>代码</x:v>
      </x:c>
      <x:c r="C7" s="176" t="str">
        <x:v>packages/novelcraft/dsh/src/tools/plugins.ts</x:v>
      </x:c>
      <x:c r="D7" s="176" t="str">
        <x:v>六工具组 15/6/4/3/7/4=39</x:v>
      </x:c>
      <x:c r="E7" s="176" t="str">
        <x:v>公开 Agent 工具</x:v>
      </x:c>
      <x:c r="F7" s="176" t="str">
        <x:v>2026-09-01</x:v>
      </x:c>
      <x:c r="G7" s="178" t="str">
        <x:v>packages/novelcraft/dsh/src/tools/plugins.ts</x:v>
      </x:c>
    </x:row>
    <x:row r="8" ht="43.5" customHeight="1">
      <x:c r="A8" s="175" t="str">
        <x:v>E04</x:v>
      </x:c>
      <x:c r="B8" s="176" t="str">
        <x:v>代码</x:v>
      </x:c>
      <x:c r="C8" s="176" t="str">
        <x:v>packages/novelcraft/client/src/wire.ts</x:v>
      </x:c>
      <x:c r="D8" s="176" t="str">
        <x:v>14 个 RPC 端点</x:v>
      </x:c>
      <x:c r="E8" s="176" t="str">
        <x:v>Web client</x:v>
      </x:c>
      <x:c r="F8" s="176" t="str">
        <x:v>2026-09-01</x:v>
      </x:c>
      <x:c r="G8" s="178" t="str">
        <x:v>packages/novelcraft/client/src/wire.ts</x:v>
      </x:c>
    </x:row>
    <x:row r="9" ht="43.5" customHeight="1">
      <x:c r="A9" s="175" t="str">
        <x:v>E05</x:v>
      </x:c>
      <x:c r="B9" s="176" t="str">
        <x:v>代码</x:v>
      </x:c>
      <x:c r="C9" s="176" t="str">
        <x:v>packages/novelcraft/context/src/context.ts</x:v>
      </x:c>
      <x:c r="D9" s="176" t="str">
        <x:v>P0-P4、启发式 token、预算/confirmation 当前实现</x:v>
      </x:c>
      <x:c r="E9" s="176" t="str">
        <x:v>Context</x:v>
      </x:c>
      <x:c r="F9" s="176" t="str">
        <x:v>2026-09-01</x:v>
      </x:c>
      <x:c r="G9" s="178" t="str">
        <x:v>packages/novelcraft/context/src/context.ts</x:v>
      </x:c>
    </x:row>
    <x:row r="10" ht="43.5" customHeight="1">
      <x:c r="A10" s="175" t="str">
        <x:v>E06</x:v>
      </x:c>
      <x:c r="B10" s="176" t="str">
        <x:v>测试</x:v>
      </x:c>
      <x:c r="C10" s="176" t="str">
        <x:v>packages/novelcraft/context/test/context.test.ts</x:v>
      </x:c>
      <x:c r="D10" s="176" t="str">
        <x:v>5 tests；预算断言允许 budget+64</x:v>
      </x:c>
      <x:c r="E10" s="176" t="str">
        <x:v>Context 行为</x:v>
      </x:c>
      <x:c r="F10" s="176" t="str">
        <x:v>2026-09-01</x:v>
      </x:c>
      <x:c r="G10" s="178" t="str">
        <x:v>packages/novelcraft/context/test/context.test.ts</x:v>
      </x:c>
    </x:row>
    <x:row r="11" ht="43.5" customHeight="1">
      <x:c r="A11" s="175" t="str">
        <x:v>E07</x:v>
      </x:c>
      <x:c r="B11" s="176" t="str">
        <x:v>代码</x:v>
      </x:c>
      <x:c r="C11" s="176" t="str">
        <x:v>packages/novelcraft/writing/src/propose.ts</x:v>
      </x:c>
      <x:c r="D11" s="176" t="str">
        <x:v>通用 Context 只构造 P0-P3；提案/生成两流程复用</x:v>
      </x:c>
      <x:c r="E11" s="176" t="str">
        <x:v>Writing</x:v>
      </x:c>
      <x:c r="F11" s="176" t="str">
        <x:v>2026-09-01</x:v>
      </x:c>
      <x:c r="G11" s="178" t="str">
        <x:v>packages/novelcraft/writing/src/propose.ts</x:v>
      </x:c>
    </x:row>
    <x:row r="12" ht="43.5" customHeight="1">
      <x:c r="A12" s="175" t="str">
        <x:v>E08</x:v>
      </x:c>
      <x:c r="B12" s="176" t="str">
        <x:v>代码</x:v>
      </x:c>
      <x:c r="C12" s="176" t="str">
        <x:v>packages/novelcraft/imports/src/orchestrate.ts:417</x:v>
      </x:c>
      <x:c r="D12" s="176" t="str">
        <x:v>结构阶段调用未传 context</x:v>
      </x:c>
      <x:c r="E12" s="176" t="str">
        <x:v>Deep import</x:v>
      </x:c>
      <x:c r="F12" s="176" t="str">
        <x:v>2026-09-01</x:v>
      </x:c>
      <x:c r="G12" s="178" t="str">
        <x:v>packages/novelcraft/imports/src/orchestrate.ts</x:v>
      </x:c>
    </x:row>
    <x:row r="13" ht="43.5" customHeight="1">
      <x:c r="A13" s="175" t="str">
        <x:v>E09</x:v>
      </x:c>
      <x:c r="B13" s="176" t="str">
        <x:v>代码</x:v>
      </x:c>
      <x:c r="C13" s="176" t="str">
        <x:v>packages/novelcraft/imports/src/structure.ts:149</x:v>
      </x:c>
      <x:c r="D13" s="176" t="str">
        <x:v>无 opts.context 时仅通用一句指令</x:v>
      </x:c>
      <x:c r="E13" s="176" t="str">
        <x:v>Deep import</x:v>
      </x:c>
      <x:c r="F13" s="176" t="str">
        <x:v>2026-09-01</x:v>
      </x:c>
      <x:c r="G13" s="178" t="str">
        <x:v>packages/novelcraft/imports/src/structure.ts</x:v>
      </x:c>
    </x:row>
    <x:row r="14" ht="43.5" customHeight="1">
      <x:c r="A14" s="175" t="str">
        <x:v>E10</x:v>
      </x:c>
      <x:c r="B14" s="176" t="str">
        <x:v>代码</x:v>
      </x:c>
      <x:c r="C14" s="176" t="str">
        <x:v>packages/novelcraft/world/src/map-atlas/context.ts</x:v>
      </x:c>
      <x:c r="D14" s="176" t="str">
        <x:v>Atlas 有 canonical 选择、manifest、source hash、context hash</x:v>
      </x:c>
      <x:c r="E14" s="176" t="str">
        <x:v>最佳 context 参考</x:v>
      </x:c>
      <x:c r="F14" s="176" t="str">
        <x:v>2026-09-01</x:v>
      </x:c>
      <x:c r="G14" s="178" t="str">
        <x:v>packages/novelcraft/world/src/map-atlas/context.ts</x:v>
      </x:c>
    </x:row>
    <x:row r="15" ht="43.5" customHeight="1">
      <x:c r="A15" s="175" t="str">
        <x:v>E11</x:v>
      </x:c>
      <x:c r="B15" s="176" t="str">
        <x:v>代码</x:v>
      </x:c>
      <x:c r="C15" s="176" t="str">
        <x:v>packages/novelcraft/rag/src/search.ts</x:v>
      </x:c>
      <x:c r="D15" s="176" t="str">
        <x:v>BM25/rerank/vector、typed total/truncated/open_target</x:v>
      </x:c>
      <x:c r="E15" s="176" t="str">
        <x:v>RAG</x:v>
      </x:c>
      <x:c r="F15" s="176" t="str">
        <x:v>2026-09-01</x:v>
      </x:c>
      <x:c r="G15" s="178" t="str">
        <x:v>packages/novelcraft/rag/src/search.ts</x:v>
      </x:c>
    </x:row>
    <x:row r="16" ht="43.5" customHeight="1">
      <x:c r="A16" s="175" t="str">
        <x:v>E12</x:v>
      </x:c>
      <x:c r="B16" s="176" t="str">
        <x:v>代码</x:v>
      </x:c>
      <x:c r="C16" s="176" t="str">
        <x:v>packages/novelcraft/dsh/src/llm/provider.ts</x:v>
      </x:c>
      <x:c r="D16" s="176" t="str">
        <x:v>exact-route readiness；未透传 reasoningEffort</x:v>
      </x:c>
      <x:c r="E16" s="176" t="str">
        <x:v>LLM seam</x:v>
      </x:c>
      <x:c r="F16" s="176" t="str">
        <x:v>2026-09-01</x:v>
      </x:c>
      <x:c r="G16" s="178" t="str">
        <x:v>packages/novelcraft/dsh/src/llm/provider.ts</x:v>
      </x:c>
    </x:row>
    <x:row r="17" ht="43.5" customHeight="1">
      <x:c r="A17" s="175" t="str">
        <x:v>E13</x:v>
      </x:c>
      <x:c r="B17" s="176" t="str">
        <x:v>代码</x:v>
      </x:c>
      <x:c r="C17" s="176" t="str">
        <x:v>packages/novelcraft/dsh/src/config.ts</x:v>
      </x:c>
      <x:c r="D17" s="176" t="str">
        <x:v>内容手默认 deepseek/deepseek-chat</x:v>
      </x:c>
      <x:c r="E17" s="176" t="str">
        <x:v>LLM default</x:v>
      </x:c>
      <x:c r="F17" s="176" t="str">
        <x:v>2026-09-01</x:v>
      </x:c>
      <x:c r="G17" s="178" t="str">
        <x:v>packages/novelcraft/dsh/src/config.ts</x:v>
      </x:c>
    </x:row>
    <x:row r="18" ht="43.5" customHeight="1">
      <x:c r="A18" s="175" t="str">
        <x:v>E14</x:v>
      </x:c>
      <x:c r="B18" s="176" t="str">
        <x:v>代码</x:v>
      </x:c>
      <x:c r="C18" s="176" t="str">
        <x:v>packages/novelcraft/llm-step/src/presets.ts</x:v>
      </x:c>
      <x:c r="D18" s="176" t="str">
        <x:v>writing/import/polish 的 V4 卡仍携 temperature</x:v>
      </x:c>
      <x:c r="E18" s="176" t="str">
        <x:v>内容手 preset</x:v>
      </x:c>
      <x:c r="F18" s="176" t="str">
        <x:v>2026-09-01</x:v>
      </x:c>
      <x:c r="G18" s="178" t="str">
        <x:v>packages/novelcraft/llm-step/src/presets.ts</x:v>
      </x:c>
    </x:row>
    <x:row r="19" ht="43.5" customHeight="1">
      <x:c r="A19" s="175" t="str">
        <x:v>E15</x:v>
      </x:c>
      <x:c r="B19" s="176" t="str">
        <x:v>依赖</x:v>
      </x:c>
      <x:c r="C19" s="176" t="str">
        <x:v>@deepseek-ai/dsh-llm rc.8 types</x:v>
      </x:c>
      <x:c r="D19" s="176" t="str">
        <x:v>GenerateOptions 支持 reasoningEffort；listProviders 返回 LlmProviderInfo[]</x:v>
      </x:c>
      <x:c r="E19" s="176" t="str">
        <x:v>宿主契约</x:v>
      </x:c>
      <x:c r="F19" s="176" t="str">
        <x:v>2026-09-01</x:v>
      </x:c>
      <x:c r="G19" s="178" t="str">
        <x:v>node_modules/@deepseek-ai/dsh-llm/lib/types/types.d.ts</x:v>
      </x:c>
    </x:row>
    <x:row r="20" ht="43.5" customHeight="1">
      <x:c r="A20" s="175" t="str">
        <x:v>E16</x:v>
      </x:c>
      <x:c r="B20" s="176" t="str">
        <x:v>代码</x:v>
      </x:c>
      <x:c r="C20" s="176" t="str">
        <x:v>packages/novelcraft/client/src/rpc.ts</x:v>
      </x:c>
      <x:c r="D20" s="176" t="str">
        <x:v>availableProviders 将真实对象数组误作 string[]</x:v>
      </x:c>
      <x:c r="E20" s="176" t="str">
        <x:v>Preset UI</x:v>
      </x:c>
      <x:c r="F20" s="176" t="str">
        <x:v>2026-09-01</x:v>
      </x:c>
      <x:c r="G20" s="178" t="str">
        <x:v>packages/novelcraft/client/src/rpc.ts</x:v>
      </x:c>
    </x:row>
    <x:row r="21" ht="43.5" customHeight="1">
      <x:c r="A21" s="175" t="str">
        <x:v>E17</x:v>
      </x:c>
      <x:c r="B21" s="176" t="str">
        <x:v>文档</x:v>
      </x:c>
      <x:c r="C21" s="176" t="str">
        <x:v>STATUS-M4.md / 后续开发计划.md</x:v>
      </x:c>
      <x:c r="D21" s="176" t="str">
        <x:v>M10-M12/N48 当前完成与后置边界</x:v>
      </x:c>
      <x:c r="E21" s="176" t="str">
        <x:v>当前状态</x:v>
      </x:c>
      <x:c r="F21" s="176" t="str">
        <x:v>2026-09-01</x:v>
      </x:c>
      <x:c r="G21" s="178" t="str">
        <x:v>docs/agent/dsh-rebuild/STATUS-M4.md</x:v>
      </x:c>
    </x:row>
    <x:row r="22" ht="43.5" customHeight="1">
      <x:c r="A22" s="175" t="str">
        <x:v>E18</x:v>
      </x:c>
      <x:c r="B22" s="176" t="str">
        <x:v>官方</x:v>
      </x:c>
      <x:c r="C22" s="176" t="str">
        <x:v>DeepSeek Models &amp; Pricing</x:v>
      </x:c>
      <x:c r="D22" s="176" t="str">
        <x:v>V4 Flash/Pro：1M context、384K output、当前价格</x:v>
      </x:c>
      <x:c r="E22" s="176" t="str">
        <x:v>DeepSeek</x:v>
      </x:c>
      <x:c r="F22" s="176" t="str">
        <x:v>2026-09-01</x:v>
      </x:c>
      <x:c r="G22" s="178" t="str">
        <x:v>https://api-docs.deepseek.com/quick_start/pricing/</x:v>
      </x:c>
    </x:row>
    <x:row r="23" ht="43.5" customHeight="1">
      <x:c r="A23" s="175" t="str">
        <x:v>E19</x:v>
      </x:c>
      <x:c r="B23" s="176" t="str">
        <x:v>官方</x:v>
      </x:c>
      <x:c r="C23" s="176" t="str">
        <x:v>DeepSeek Thinking Mode</x:v>
      </x:c>
      <x:c r="D23" s="176" t="str">
        <x:v>默认 high；low/high/max 映射；thinking 下 sampling 无效</x:v>
      </x:c>
      <x:c r="E23" s="176" t="str">
        <x:v>DeepSeek</x:v>
      </x:c>
      <x:c r="F23" s="176" t="str">
        <x:v>2026-09-01</x:v>
      </x:c>
      <x:c r="G23" s="178" t="str">
        <x:v>https://api-docs.deepseek.com/guides/thinking_mode/</x:v>
      </x:c>
    </x:row>
    <x:row r="24" ht="43.5" customHeight="1">
      <x:c r="A24" s="175" t="str">
        <x:v>E20</x:v>
      </x:c>
      <x:c r="B24" s="176" t="str">
        <x:v>官方</x:v>
      </x:c>
      <x:c r="C24" s="176" t="str">
        <x:v>DeepSeek Change Log</x:v>
      </x:c>
      <x:c r="D24" s="176" t="str">
        <x:v>deepseek-chat/reasoner 于 2026-07-24 退役</x:v>
      </x:c>
      <x:c r="E24" s="176" t="str">
        <x:v>DeepSeek</x:v>
      </x:c>
      <x:c r="F24" s="176" t="str">
        <x:v>2026-09-01</x:v>
      </x:c>
      <x:c r="G24" s="178" t="str">
        <x:v>https://api-docs.deepseek.com/updates/</x:v>
      </x:c>
    </x:row>
    <x:row r="25" ht="43.5" customHeight="1">
      <x:c r="A25" s="175" t="str">
        <x:v>E21</x:v>
      </x:c>
      <x:c r="B25" s="176" t="str">
        <x:v>官方</x:v>
      </x:c>
      <x:c r="C25" s="176" t="str">
        <x:v>OpenAI GPT-5.6 model guide</x:v>
      </x:c>
      <x:c r="D25" s="176" t="str">
        <x:v>Sol/Terra/Luna 与 reasoning effort 建议</x:v>
      </x:c>
      <x:c r="E25" s="176" t="str">
        <x:v>OpenAI</x:v>
      </x:c>
      <x:c r="F25" s="176" t="str">
        <x:v>2026-09-01</x:v>
      </x:c>
      <x:c r="G25" s="178" t="str">
        <x:v>https://developers.openai.com/api/docs/guides/latest-model</x:v>
      </x:c>
    </x:row>
    <x:row r="26" ht="43.5" customHeight="1">
      <x:c r="A26" s="175" t="str">
        <x:v>E22</x:v>
      </x:c>
      <x:c r="B26" s="176" t="str">
        <x:v>官方</x:v>
      </x:c>
      <x:c r="C26" s="176" t="str">
        <x:v>OpenAI GPT-5.6 Terra</x:v>
      </x:c>
      <x:c r="D26" s="176" t="str">
        <x:v>1.05M/128K、$2/$12</x:v>
      </x:c>
      <x:c r="E26" s="176" t="str">
        <x:v>OpenAI</x:v>
      </x:c>
      <x:c r="F26" s="176" t="str">
        <x:v>2026-09-01</x:v>
      </x:c>
      <x:c r="G26" s="178" t="str">
        <x:v>https://developers.openai.com/api/docs/models/gpt-5.6-terra</x:v>
      </x:c>
    </x:row>
    <x:row r="27" ht="43.5" customHeight="1">
      <x:c r="A27" s="175" t="str">
        <x:v>E23</x:v>
      </x:c>
      <x:c r="B27" s="176" t="str">
        <x:v>官方</x:v>
      </x:c>
      <x:c r="C27" s="176" t="str">
        <x:v>OpenAI GPT-5.6 Sol</x:v>
      </x:c>
      <x:c r="D27" s="176" t="str">
        <x:v>1.05M/128K、$4/$20</x:v>
      </x:c>
      <x:c r="E27" s="176" t="str">
        <x:v>OpenAI</x:v>
      </x:c>
      <x:c r="F27" s="176" t="str">
        <x:v>2026-09-01</x:v>
      </x:c>
      <x:c r="G27" s="178" t="str">
        <x:v>https://developers.openai.com/api/docs/models/gpt-5.6-sol</x:v>
      </x:c>
    </x:row>
    <x:row r="28" ht="43.5" customHeight="1">
      <x:c r="A28" s="175" t="str">
        <x:v>E24</x:v>
      </x:c>
      <x:c r="B28" s="176" t="str">
        <x:v>官方</x:v>
      </x:c>
      <x:c r="C28" s="176" t="str">
        <x:v>Claude Sonnet 5</x:v>
      </x:c>
      <x:c r="D28" s="176" t="str">
        <x:v>1M/128K、adaptive thinking、sampling 限制</x:v>
      </x:c>
      <x:c r="E28" s="176" t="str">
        <x:v>Anthropic</x:v>
      </x:c>
      <x:c r="F28" s="176" t="str">
        <x:v>2026-09-01</x:v>
      </x:c>
      <x:c r="G28" s="178" t="str">
        <x:v>https://platform.claude.com/docs/en/models/sonnet-5/whats-new-sonnet-5</x:v>
      </x:c>
    </x:row>
    <x:row r="29" ht="43.5" customHeight="1">
      <x:c r="A29" s="175" t="str">
        <x:v>E25</x:v>
      </x:c>
      <x:c r="B29" s="176" t="str">
        <x:v>官方</x:v>
      </x:c>
      <x:c r="C29" s="176" t="str">
        <x:v>Claude Pricing</x:v>
      </x:c>
      <x:c r="D29" s="176" t="str">
        <x:v>Sonnet 5 $2/$10 已转正式价；Opus 5 $5/$25</x:v>
      </x:c>
      <x:c r="E29" s="176" t="str">
        <x:v>Anthropic</x:v>
      </x:c>
      <x:c r="F29" s="176" t="str">
        <x:v>2026-09-01</x:v>
      </x:c>
      <x:c r="G29" s="178" t="str">
        <x:v>https://platform.claude.com/docs/en/about-claude/pricing</x:v>
      </x:c>
    </x:row>
    <x:row r="30" ht="43.5" customHeight="1">
      <x:c r="A30" s="175" t="str">
        <x:v>E26</x:v>
      </x:c>
      <x:c r="B30" s="176" t="str">
        <x:v>官方</x:v>
      </x:c>
      <x:c r="C30" s="176" t="str">
        <x:v>Gemini 3.7 Flash</x:v>
      </x:c>
      <x:c r="D30" s="176" t="str">
        <x:v>1,048,576/65,536；low/medium/high</x:v>
      </x:c>
      <x:c r="E30" s="176" t="str">
        <x:v>Google</x:v>
      </x:c>
      <x:c r="F30" s="176" t="str">
        <x:v>2026-09-01</x:v>
      </x:c>
      <x:c r="G30" s="178" t="str">
        <x:v>https://ai.google.dev/gemini-api/docs/models/gemini-3.7-flash</x:v>
      </x:c>
    </x:row>
    <x:row r="31" ht="43.5" customHeight="1">
      <x:c r="A31" s="175" t="str">
        <x:v>E27</x:v>
      </x:c>
      <x:c r="B31" s="176" t="str">
        <x:v>官方</x:v>
      </x:c>
      <x:c r="C31" s="176" t="str">
        <x:v>Gemini API pricing</x:v>
      </x:c>
      <x:c r="D31" s="176" t="str">
        <x:v>$0.75/$3.75 至 2026-12-31</x:v>
      </x:c>
      <x:c r="E31" s="176" t="str">
        <x:v>Google</x:v>
      </x:c>
      <x:c r="F31" s="176" t="str">
        <x:v>2026-09-01</x:v>
      </x:c>
      <x:c r="G31" s="178" t="str">
        <x:v>https://ai.google.dev/gemini-api/docs/pricing</x:v>
      </x:c>
    </x:row>
    <x:row r="32" ht="43.5" customHeight="1">
      <x:c r="A32" s="175" t="str">
        <x:v>E28</x:v>
      </x:c>
      <x:c r="B32" s="176" t="str">
        <x:v>官方</x:v>
      </x:c>
      <x:c r="C32" s="176" t="str">
        <x:v>Qwen3.7 Plus</x:v>
      </x:c>
      <x:c r="D32" s="176" t="str">
        <x:v>1M/131072、thinking、分段价格</x:v>
      </x:c>
      <x:c r="E32" s="176" t="str">
        <x:v>Alibaba</x:v>
      </x:c>
      <x:c r="F32" s="176" t="str">
        <x:v>2026-09-01</x:v>
      </x:c>
      <x:c r="G32" s="178" t="str">
        <x:v>https://help.aliyun.com/zh/model-studio/qwen3-7-plus</x:v>
      </x:c>
    </x:row>
    <x:row r="33" ht="43.5" customHeight="1">
      <x:c r="A33" s="175" t="str">
        <x:v>E29</x:v>
      </x:c>
      <x:c r="B33" s="176" t="str">
        <x:v>统计</x:v>
      </x:c>
      <x:c r="C33" s="176" t="str">
        <x:v>workspace source/test inventory</x:v>
      </x:c>
      <x:c r="D33" s="176" t="str">
        <x:v>16 workspaces、约 1,390 个静态 test()/it() 声明</x:v>
      </x:c>
      <x:c r="E33" s="176" t="str">
        <x:v>仓库规模</x:v>
      </x:c>
      <x:c r="F33" s="176" t="str">
        <x:v>2026-09-01</x:v>
      </x:c>
      <x:c r="G33" s="178" t="str">
        <x:v>rg --files + rg test/it</x:v>
      </x:c>
    </x:row>
    <x:row r="34" ht="43.5" customHeight="1">
      <x:c r="A34" s="179" t="str">
        <x:v>E30</x:v>
      </x:c>
      <x:c r="B34" s="180" t="str">
        <x:v>限制</x:v>
      </x:c>
      <x:c r="C34" s="180" t="str">
        <x:v>未运行付费 real-LLM fiction benchmark</x:v>
      </x:c>
      <x:c r="D34" s="180" t="str">
        <x:v>模型文学质量结论均为候选，不是已证实排名</x:v>
      </x:c>
      <x:c r="E34" s="180" t="str">
        <x:v>解释边界</x:v>
      </x:c>
      <x:c r="F34" s="180" t="str">
        <x:v>2026-09-01</x:v>
      </x:c>
      <x:c r="G34" s="182" t="str">
        <x:v>07_评测计划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d13a4410f424b2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3.329999923706055" hidden="0" customWidth="1"/>
    <x:col min="3" max="3" width="47.77999877929687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.5" customHeight="1">
      <x:c r="A1" s="129" t="str">
        <x:v>评分规则与证据等级</x:v>
      </x:c>
      <x:c r="B1" s="129"/>
      <x:c r="C1" s="129"/>
      <x:c r="D1" s="129"/>
      <x:c r="E1" s="129"/>
      <x:c r="F1" s="129"/>
      <x:c r="G1" s="129"/>
      <x:c r="H1" s="129"/>
    </x:row>
    <x:row r="2" ht="25.5" customHeight="1">
      <x:c r="A2" s="130" t="str">
        <x:v>所有成熟度为诊断量表，不是行业 benchmark；权重可直接编辑，其他 Sheet 会重算。</x:v>
      </x:c>
      <x:c r="B2" s="130"/>
      <x:c r="C2" s="130"/>
      <x:c r="D2" s="130"/>
      <x:c r="E2" s="130"/>
      <x:c r="F2" s="130"/>
      <x:c r="G2" s="130"/>
      <x:c r="H2" s="130"/>
    </x:row>
    <x:row r="3">
      <x:c r="A3" s="131"/>
      <x:c r="B3" s="131"/>
      <x:c r="C3" s="131"/>
      <x:c r="D3" s="131"/>
      <x:c r="E3" s="131"/>
      <x:c r="F3" s="131"/>
      <x:c r="G3" s="131"/>
      <x:c r="H3" s="131"/>
    </x:row>
    <x:row r="4">
      <x:c r="A4" s="155" t="str">
        <x:v>模块维度</x:v>
      </x:c>
      <x:c r="B4" s="155" t="str">
        <x:v>权重</x:v>
      </x:c>
      <x:c r="C4" s="155" t="str">
        <x:v>定义</x:v>
      </x:c>
      <x:c r="D4" s="131"/>
      <x:c r="E4" s="190" t="str">
        <x:v>分数</x:v>
      </x:c>
      <x:c r="F4" s="190" t="str">
        <x:v>等级</x:v>
      </x:c>
      <x:c r="G4" s="190" t="str">
        <x:v>解释</x:v>
      </x:c>
      <x:c r="H4" s="131"/>
    </x:row>
    <x:row r="5">
      <x:c r="A5" s="131" t="str">
        <x:v>用户可达性</x:v>
      </x:c>
      <x:c r="B5" s="191" t="n">
        <x:v>0.2</x:v>
      </x:c>
      <x:c r="C5" s="131" t="str">
        <x:v>是否有稳定 Agent 工具或作者界面</x:v>
      </x:c>
      <x:c r="D5" s="131"/>
      <x:c r="E5" s="131" t="n">
        <x:v>85</x:v>
      </x:c>
      <x:c r="F5" s="131" t="str">
        <x:v>A</x:v>
      </x:c>
      <x:c r="G5" s="131" t="str">
        <x:v>主路径稳健，限制明确</x:v>
      </x:c>
      <x:c r="H5" s="131"/>
    </x:row>
    <x:row r="6">
      <x:c r="A6" s="131" t="str">
        <x:v>功能深度</x:v>
      </x:c>
      <x:c r="B6" s="191" t="n">
        <x:v>0.2</x:v>
      </x:c>
      <x:c r="C6" s="131" t="str">
        <x:v>主路径与关键失败路径是否完成</x:v>
      </x:c>
      <x:c r="D6" s="131"/>
      <x:c r="E6" s="131" t="n">
        <x:v>70</x:v>
      </x:c>
      <x:c r="F6" s="131" t="str">
        <x:v>B</x:v>
      </x:c>
      <x:c r="G6" s="131" t="str">
        <x:v>可用，仍有重要缺口</x:v>
      </x:c>
      <x:c r="H6" s="131"/>
    </x:row>
    <x:row r="7">
      <x:c r="A7" s="131" t="str">
        <x:v>集成/复用</x:v>
      </x:c>
      <x:c r="B7" s="191" t="n">
        <x:v>0.15</x:v>
      </x:c>
      <x:c r="C7" s="131" t="str">
        <x:v>是否被真实消费者调用；是否避免重复实现</x:v>
      </x:c>
      <x:c r="D7" s="131"/>
      <x:c r="E7" s="131" t="n">
        <x:v>55</x:v>
      </x:c>
      <x:c r="F7" s="131" t="str">
        <x:v>C</x:v>
      </x:c>
      <x:c r="G7" s="131" t="str">
        <x:v>部分可用</x:v>
      </x:c>
      <x:c r="H7" s="131"/>
    </x:row>
    <x:row r="8">
      <x:c r="A8" s="131" t="str">
        <x:v>可靠性/安全</x:v>
      </x:c>
      <x:c r="B8" s="191" t="n">
        <x:v>0.2</x:v>
      </x:c>
      <x:c r="C8" s="131" t="str">
        <x:v>隔离、审批、CAS、恢复、降级</x:v>
      </x:c>
      <x:c r="D8" s="131"/>
      <x:c r="E8" s="131" t="n">
        <x:v>40</x:v>
      </x:c>
      <x:c r="F8" s="131" t="str">
        <x:v>D</x:v>
      </x:c>
      <x:c r="G8" s="131" t="str">
        <x:v>原型/内部能力</x:v>
      </x:c>
      <x:c r="H8" s="131"/>
    </x:row>
    <x:row r="9">
      <x:c r="A9" s="131" t="str">
        <x:v>测试证据</x:v>
      </x:c>
      <x:c r="B9" s="191" t="n">
        <x:v>0.15</x:v>
      </x:c>
      <x:c r="C9" s="131" t="str">
        <x:v>行为契约、trace、CI 与边界负例</x:v>
      </x:c>
      <x:c r="D9" s="131"/>
      <x:c r="E9" s="131" t="n">
        <x:v>0</x:v>
      </x:c>
      <x:c r="F9" s="131" t="str">
        <x:v>E</x:v>
      </x:c>
      <x:c r="G9" s="131" t="str">
        <x:v>缺失或不可依赖</x:v>
      </x:c>
      <x:c r="H9" s="131"/>
    </x:row>
    <x:row r="10">
      <x:c r="A10" s="131" t="str">
        <x:v>实效证据</x:v>
      </x:c>
      <x:c r="B10" s="191" t="n">
        <x:v>0.1</x:v>
      </x:c>
      <x:c r="C10" s="131" t="str">
        <x:v>真实运行、作者试用、质量/成本评测</x:v>
      </x:c>
      <x:c r="D10" s="131"/>
      <x:c r="E10" s="131"/>
      <x:c r="F10" s="131"/>
      <x:c r="G10" s="131"/>
      <x:c r="H10" s="131"/>
    </x:row>
    <x:row r="11">
      <x:c r="A11" s="131"/>
      <x:c r="B11" s="131"/>
      <x:c r="C11" s="131"/>
      <x:c r="D11" s="131"/>
      <x:c r="E11" s="131"/>
      <x:c r="F11" s="131"/>
      <x:c r="G11" s="131"/>
      <x:c r="H11" s="131"/>
    </x:row>
    <x:row r="12">
      <x:c r="A12" s="192" t="str">
        <x:v>能力维度</x:v>
      </x:c>
      <x:c r="B12" s="192" t="str">
        <x:v>权重</x:v>
      </x:c>
      <x:c r="C12" s="192" t="str">
        <x:v>定义</x:v>
      </x:c>
      <x:c r="D12" s="131"/>
      <x:c r="E12" s="131"/>
      <x:c r="F12" s="131"/>
      <x:c r="G12" s="131"/>
      <x:c r="H12" s="131"/>
    </x:row>
    <x:row r="13">
      <x:c r="A13" s="131" t="str">
        <x:v>实现完整</x:v>
      </x:c>
      <x:c r="B13" s="191" t="n">
        <x:v>0.3</x:v>
      </x:c>
      <x:c r="C13" s="131" t="str">
        <x:v>主结果与限制是否真实实现</x:v>
      </x:c>
      <x:c r="D13" s="131"/>
      <x:c r="E13" s="131"/>
      <x:c r="F13" s="131"/>
      <x:c r="G13" s="131"/>
      <x:c r="H13" s="131"/>
    </x:row>
    <x:row r="14">
      <x:c r="A14" s="131" t="str">
        <x:v>用户可达</x:v>
      </x:c>
      <x:c r="B14" s="191" t="n">
        <x:v>0.25</x:v>
      </x:c>
      <x:c r="C14" s="131" t="str">
        <x:v>作者能否不靠内部 API 完成任务</x:v>
      </x:c>
      <x:c r="D14" s="131"/>
      <x:c r="E14" s="131"/>
      <x:c r="F14" s="131"/>
      <x:c r="G14" s="131"/>
      <x:c r="H14" s="131"/>
    </x:row>
    <x:row r="15">
      <x:c r="A15" s="131" t="str">
        <x:v>可靠安全</x:v>
      </x:c>
      <x:c r="B15" s="191" t="n">
        <x:v>0.25</x:v>
      </x:c>
      <x:c r="C15" s="131" t="str">
        <x:v>失败、恢复、审批与隔离</x:v>
      </x:c>
      <x:c r="D15" s="131"/>
      <x:c r="E15" s="131"/>
      <x:c r="F15" s="131"/>
      <x:c r="G15" s="131"/>
      <x:c r="H15" s="131"/>
    </x:row>
    <x:row r="16">
      <x:c r="A16" s="131" t="str">
        <x:v>效果证据</x:v>
      </x:c>
      <x:c r="B16" s="191" t="n">
        <x:v>0.2</x:v>
      </x:c>
      <x:c r="C16" s="131" t="str">
        <x:v>真实质量/作者/运行证据</x:v>
      </x:c>
      <x:c r="D16" s="131"/>
      <x:c r="E16" s="131"/>
      <x:c r="F16" s="131"/>
      <x:c r="G16" s="131"/>
      <x:c r="H16" s="131"/>
    </x:row>
    <x:row r="17">
      <x:c r="A17" s="131" t="str">
        <x:v>合计</x:v>
      </x:c>
      <x:c r="B17" s="191" t="n">
        <x:f>SUM(B13:B16)</x:f>
        <x:v>1</x:v>
      </x:c>
      <x:c r="C17" s="131" t="str">
        <x:v>应为 100%</x:v>
      </x:c>
      <x:c r="D17" s="131"/>
      <x:c r="E17" s="131"/>
      <x:c r="F17" s="131"/>
      <x:c r="G17" s="131"/>
      <x:c r="H17" s="131"/>
    </x:row>
    <x:row r="18">
      <x:c r="A18" s="131"/>
      <x:c r="B18" s="131"/>
      <x:c r="C18" s="131"/>
      <x:c r="D18" s="131"/>
      <x:c r="E18" s="131"/>
      <x:c r="F18" s="131"/>
      <x:c r="G18" s="131"/>
      <x:c r="H18" s="131"/>
    </x:row>
    <x:row r="19">
      <x:c r="A19" s="131"/>
      <x:c r="B19" s="131"/>
      <x:c r="C19" s="131"/>
      <x:c r="D19" s="131"/>
      <x:c r="E19" s="131"/>
      <x:c r="F19" s="131"/>
      <x:c r="G19" s="131"/>
      <x:c r="H19" s="131"/>
    </x:row>
    <x:row r="20">
      <x:c r="A20" s="193" t="str">
        <x:v>证据优先级：当前代码+行为测试 &gt; 当前 CI &gt; 已提交契约文档 &gt; 历史台账 &gt; 计划。
绿色测试只能证明被断言的行为，不能证明文学质量、真实用户效果或所有跨模块语义。
“未执行 real-LLM eval”会直接压低实效分，避免把模型规格当项目质量。</x:v>
      </x:c>
      <x:c r="B20" s="193"/>
      <x:c r="C20" s="193"/>
      <x:c r="D20" s="193"/>
      <x:c r="E20" s="193"/>
      <x:c r="F20" s="193"/>
      <x:c r="G20" s="193"/>
      <x:c r="H20" s="193"/>
    </x:row>
    <x:row r="21">
      <x:c r="A21" s="193"/>
      <x:c r="B21" s="193"/>
      <x:c r="C21" s="193"/>
      <x:c r="D21" s="193"/>
      <x:c r="E21" s="193"/>
      <x:c r="F21" s="193"/>
      <x:c r="G21" s="193"/>
      <x:c r="H21" s="193"/>
    </x:row>
    <x:row r="22">
      <x:c r="A22" s="193"/>
      <x:c r="B22" s="193"/>
      <x:c r="C22" s="193"/>
      <x:c r="D22" s="193"/>
      <x:c r="E22" s="193"/>
      <x:c r="F22" s="193"/>
      <x:c r="G22" s="193"/>
      <x:c r="H22" s="193"/>
    </x:row>
    <x:row r="23">
      <x:c r="A23" s="193"/>
      <x:c r="B23" s="193"/>
      <x:c r="C23" s="193"/>
      <x:c r="D23" s="193"/>
      <x:c r="E23" s="193"/>
      <x:c r="F23" s="193"/>
      <x:c r="G23" s="193"/>
      <x:c r="H23" s="193"/>
    </x:row>
    <x:row r="24">
      <x:c r="A24" s="193"/>
      <x:c r="B24" s="193"/>
      <x:c r="C24" s="193"/>
      <x:c r="D24" s="193"/>
      <x:c r="E24" s="193"/>
      <x:c r="F24" s="193"/>
      <x:c r="G24" s="193"/>
      <x:c r="H24" s="193"/>
    </x:row>
    <x:row r="25">
      <x:c r="A25" s="193"/>
      <x:c r="B25" s="193"/>
      <x:c r="C25" s="193"/>
      <x:c r="D25" s="193"/>
      <x:c r="E25" s="193"/>
      <x:c r="F25" s="193"/>
      <x:c r="G25" s="193"/>
      <x:c r="H25" s="193"/>
    </x:row>
  </x:sheetData>
  <x:mergeCells>
    <x:mergeCell ref="A1:H1"/>
    <x:mergeCell ref="A2:H2"/>
    <x:mergeCell ref="A20:H20"/>
    <x:mergeCell ref="A21:H21"/>
    <x:mergeCell ref="A22:H22"/>
    <x:mergeCell ref="A23:H23"/>
    <x:mergeCell ref="A24:H24"/>
    <x:mergeCell ref="A25:H25"/>
  </x:mergeCells>
  <x:pageMargins left="0.7" right="0.7" top="0.75" bottom="0.75" header="0.3" footer="0.3"/>
</x:worksheet>
</file>